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orksheet" sheetId="1" r:id="rId5"/>
  </sheets>
  <definedNames>
    <definedName hidden="1" localSheetId="0" name="_xlnm._FilterDatabase">Worksheet!$A$1:$AM$982</definedName>
  </definedNames>
  <calcPr/>
</workbook>
</file>

<file path=xl/sharedStrings.xml><?xml version="1.0" encoding="utf-8"?>
<sst xmlns="http://schemas.openxmlformats.org/spreadsheetml/2006/main" count="12858" uniqueCount="1813">
  <si>
    <t>ORIGEN</t>
  </si>
  <si>
    <t>NRO.</t>
  </si>
  <si>
    <t>AÑO</t>
  </si>
  <si>
    <t>TIPO</t>
  </si>
  <si>
    <t>CARÁTULA</t>
  </si>
  <si>
    <t>NRO. DAE / DADO CUENTA</t>
  </si>
  <si>
    <t>CADUCA</t>
  </si>
  <si>
    <t>ARCHIVO</t>
  </si>
  <si>
    <t>MESA DE ENTRADAS</t>
  </si>
  <si>
    <t>PRONTO DESPACHO</t>
  </si>
  <si>
    <t>FECHA INGRESO DICTAMEN</t>
  </si>
  <si>
    <t>DIR. COMISIONES</t>
  </si>
  <si>
    <t>MOCIÓN DE PREFERENCIA</t>
  </si>
  <si>
    <t>AUTOR</t>
  </si>
  <si>
    <t>GIRO1</t>
  </si>
  <si>
    <t>COMISION1</t>
  </si>
  <si>
    <t>FECHA_INGRESO1</t>
  </si>
  <si>
    <t>FECHA_EGRESO1</t>
  </si>
  <si>
    <t>GIRO2</t>
  </si>
  <si>
    <t>COMISION2</t>
  </si>
  <si>
    <t>FECHA_INGRESO2</t>
  </si>
  <si>
    <t>FECHA_EGRESO2</t>
  </si>
  <si>
    <t>GIRO3</t>
  </si>
  <si>
    <t>COMISION3</t>
  </si>
  <si>
    <t>FECHA_INGRESO3</t>
  </si>
  <si>
    <t>FECHA_EGRESO3</t>
  </si>
  <si>
    <t>GIRO4</t>
  </si>
  <si>
    <t>COMISION4</t>
  </si>
  <si>
    <t>FECHA_INGRESO4</t>
  </si>
  <si>
    <t>FECHA_EGRESO4</t>
  </si>
  <si>
    <t>GIRO5</t>
  </si>
  <si>
    <t>COMISION5</t>
  </si>
  <si>
    <t>FECHA_INGRESO5</t>
  </si>
  <si>
    <t>FECHA_EGRESO5</t>
  </si>
  <si>
    <t>ORDEN DEL DÍA</t>
  </si>
  <si>
    <t>SANCIONES/SITUACIÓN EXP</t>
  </si>
  <si>
    <t>LEY – FECHA</t>
  </si>
  <si>
    <t>COMUNICACIÓN</t>
  </si>
  <si>
    <t>FECHA_ARCHIVO</t>
  </si>
  <si>
    <t>S</t>
  </si>
  <si>
    <t>CO</t>
  </si>
  <si>
    <t>LINARES: PLANTEA CUESTION DE PRIVILEGIO.</t>
  </si>
  <si>
    <t xml:space="preserve">  27/02/2026 -</t>
  </si>
  <si>
    <t xml:space="preserve"> 27/02/2026 -</t>
  </si>
  <si>
    <t xml:space="preserve">  -</t>
  </si>
  <si>
    <t xml:space="preserve"> 02/03/2026 -</t>
  </si>
  <si>
    <t xml:space="preserve"> LINARES, CARLOS ALBERTO -</t>
  </si>
  <si>
    <t>DE ASUNTOS CONSTITUCIONALES</t>
  </si>
  <si>
    <t>02/03/2026</t>
  </si>
  <si>
    <t xml:space="preserve">              </t>
  </si>
  <si>
    <t xml:space="preserve"> - </t>
  </si>
  <si>
    <t>REJAL: PLANTEA CUESTION DE PRIVILEGIO.</t>
  </si>
  <si>
    <t xml:space="preserve"> REJAL, JESÚS FERNANDO -</t>
  </si>
  <si>
    <t xml:space="preserve">  26/02/2026 -</t>
  </si>
  <si>
    <t xml:space="preserve"> 26/02/2026 -</t>
  </si>
  <si>
    <t>26/02/2026</t>
  </si>
  <si>
    <t>PL</t>
  </si>
  <si>
    <t xml:space="preserve">FERNANDEZ SAGASTI Y OTROS: PROYECTO DE LEY DE EVALUACION ESTRATEGICA AMBIENTAL Y PROTECCION PRODUCTIVA EN EL MARCO DEL ACUERDO MERCOSUR- UNION EUROPEA. 
</t>
  </si>
  <si>
    <t xml:space="preserve"> 111 18/03/2026 -</t>
  </si>
  <si>
    <t xml:space="preserve"> 25/02/2026 -</t>
  </si>
  <si>
    <t xml:space="preserve"> 16/03/2026 -</t>
  </si>
  <si>
    <t xml:space="preserve"> FERNÁNDEZ SAGASTI, ANABEL - CAPITANICH, JORGE MILTON - SORIA, MARTIN IGNACIO - KIRCHNER, ALICIA MARGARITA ANTONIA - LÓPEZ, MARÍA FLORENCIA - SALINO, FERNANDO ALDO - GONZÁLEZ, MARÍA TERESA MARGARITA - DI TULLIO, JULIANA - LINARES, CARLOS ALBERTO - MAYANS, JOSÉ MIGUEL ÁNGEL - MARKS, ANA INÉS - REJAL, JESÚS FERNANDO - LÓPEZ, CÁNDIDA CRISTINA -</t>
  </si>
  <si>
    <t>DE RELACIONES EXTERIORES Y CULTO</t>
  </si>
  <si>
    <t>16/03/2026</t>
  </si>
  <si>
    <t>DE ECONOMÍAS REGIONALES, ECONOMÍA SOCIAL, MICRO, PEQUEÑA Y MEDIANA EMPRESA</t>
  </si>
  <si>
    <t>DE PRESUPUESTO Y HACIENDA</t>
  </si>
  <si>
    <t>FERNÁNDEZ SAGASTI Y OTROS: PROYECTO DE LEY DE MESA NACIONAL DE ADECUACION Y DESARROLLO PRODUCTIVO PYME EN EL MARCO DEL ACUERDO MERCOSUR-UE.</t>
  </si>
  <si>
    <t xml:space="preserve"> FERNÁNDEZ SAGASTI, ANABEL - MARKS, ANA INÉS - CAPITANICH, JORGE MILTON - SORIA, MARTIN IGNACIO - GONZÁLEZ, MARÍA TERESA MARGARITA - LINARES, CARLOS ALBERTO - KIRCHNER, ALICIA MARGARITA ANTONIA - DI TULLIO, JULIANA - LÓPEZ, MARÍA FLORENCIA - SALINO, FERNANDO ALDO - MAYANS, JOSÉ MIGUEL ÁNGEL - REJAL, JESÚS FERNANDO -</t>
  </si>
  <si>
    <t>FERNÁNDEZ SAGASTI: PROYECTO DE LEY DE CREACIÓN DEL PROGRAMA B.A.R.R.I.O. - PROGRAMA DE BIENESTAR Y ACOMPAÑAMIENTO DE REDES RESPONSABLES, INTEGRADAS Y ORGANIZADAS.</t>
  </si>
  <si>
    <t xml:space="preserve"> FERNÁNDEZ SAGASTI, ANABEL -</t>
  </si>
  <si>
    <t>DE DEPORTE</t>
  </si>
  <si>
    <t>DE EDUCACIÓN Y CULTURA</t>
  </si>
  <si>
    <t>FERNANDEZ SAGASTI: PROYECTO DE LEY DE EMERGENCIA EN TRAYECTORIAS EDUCATIVAS Y ABORDAJE INTEGRAL JUVENIL.</t>
  </si>
  <si>
    <t>DE SALUD</t>
  </si>
  <si>
    <t>OLIVERA LUCERO: PROYECTO DE LEY QUE MODIFICA EL ART. 46 DE SU SIMILAR 17418 - SEGUROS-, RESPECTO AL PLAZO PARA LA COMUNICACION DEL SINIESTRO</t>
  </si>
  <si>
    <t xml:space="preserve"> OLIVERA LUCERO, BRUNO ANTONIO -</t>
  </si>
  <si>
    <t>DE LEGISLACIÓN GENERAL</t>
  </si>
  <si>
    <t xml:space="preserve">OLIVERA LUCERO: PROYECTO DE LEY QUE INCORPORA EL INC. "E" AL ART. 7 DE SU SIMILAR 27.130 - PREVENCION DEL SUICIDIO- RESPECTO DE REDUCIR LA TASA DE SUICIDIOS EN LOS ESCENARIOS PENITENCIARIOS.
</t>
  </si>
  <si>
    <t>DE JUSTICIA Y ASUNTOS PENALES</t>
  </si>
  <si>
    <t>BAHL Y GONZÁLEZ: PROYECTO DE LEY QUE DECLARA LA EMERGENCIA VIAL EN LA PROV. DE ENTRE RIOS POR EL PLAZO DE VEINTICUATRO (24) MESES.</t>
  </si>
  <si>
    <t xml:space="preserve"> 110 18/03/2026 -</t>
  </si>
  <si>
    <t xml:space="preserve"> 12/02/2026 -</t>
  </si>
  <si>
    <t xml:space="preserve"> 24/02/2026 -</t>
  </si>
  <si>
    <t xml:space="preserve"> GONZÁLEZ, MARÍA TERESA MARGARITA - BAHL, ADÁN HUMBERTO - SORIA, MARTIN IGNACIO -</t>
  </si>
  <si>
    <t>DE INFRAESTRUCTURA, VIVIENDA Y TRANSPORTE</t>
  </si>
  <si>
    <t>24/02/2026</t>
  </si>
  <si>
    <t>LOSADA: PLANTEA CUESTION DE PRIVILEGIO.</t>
  </si>
  <si>
    <t xml:space="preserve">  12/02/2026 -</t>
  </si>
  <si>
    <t xml:space="preserve"> LOSADA, CAROLINA -</t>
  </si>
  <si>
    <t>12/02/2026</t>
  </si>
  <si>
    <t>CAPITANICH: PLANTEA CUESTION DE PRIVILEGIO.</t>
  </si>
  <si>
    <t xml:space="preserve"> CAPITANICH, JORGE MILTON -</t>
  </si>
  <si>
    <t>BULLRICH: PLANTEA CUESTION DE PRIVILEGIO.</t>
  </si>
  <si>
    <t xml:space="preserve"> BULLRICH, PATRICIA -</t>
  </si>
  <si>
    <t xml:space="preserve">  11/02/2026 -</t>
  </si>
  <si>
    <t xml:space="preserve"> 11/02/2026 -</t>
  </si>
  <si>
    <t>FAMA: PLANTEA CUESTION DE PRIVILEGIO.</t>
  </si>
  <si>
    <t xml:space="preserve"> FAMA, FLAVIO SERGIO -</t>
  </si>
  <si>
    <t>KIRCHNER: PROYECTO DE LEY QUE DECLARA LA EMERGENCIA VIAL EN LA PROV. DE SANTA CRUZ POR EL PLAZO DE DOS (2) AÑOS PRORROGABLE A UN PERIODO DE IGUAL TERMINO.</t>
  </si>
  <si>
    <t xml:space="preserve"> KIRCHNER, ALICIA MARGARITA ANTONIA -</t>
  </si>
  <si>
    <t>MARKS Y OTROS: PROYECTO DE LEY QUE ESTABLECE EL REGIMEN PREVISIONAL DIFERENCIAL PARA LAS Y LOS TRABAJADORES COMBATIENTES DE INCENDIOS FORESTALES O RURALES.</t>
  </si>
  <si>
    <t xml:space="preserve"> 109 18/03/2026 -</t>
  </si>
  <si>
    <t xml:space="preserve"> 03/02/2026 -</t>
  </si>
  <si>
    <t xml:space="preserve"> MARKS, ANA INÉS - SORIA, MARTIN IGNACIO - GONZÁLEZ, MARÍA TERESA MARGARITA - LÓPEZ, CÁNDIDA CRISTINA - BAHL, ADÁN HUMBERTO -</t>
  </si>
  <si>
    <t>DE TRABAJO Y PREVISIÓN SOCIAL</t>
  </si>
  <si>
    <t xml:space="preserve">CAPITANICH U OTROS: PROYECTO DE LEY QUE DECLARA LA EMERGENCIA VIAL EN LA PROV. DEL CHACO, POR EL PLAZO DE VEINTICUATRO (24) MESES.
</t>
  </si>
  <si>
    <t xml:space="preserve"> 29/01/2026 -</t>
  </si>
  <si>
    <t xml:space="preserve"> CAPITANICH, JORGE MILTON - SORIA, MARTIN IGNACIO - LÓPEZ, CÁNDIDA CRISTINA - GONZÁLEZ, MARÍA TERESA MARGARITA -</t>
  </si>
  <si>
    <t>03/02/2026</t>
  </si>
  <si>
    <t xml:space="preserve">GADANO Y OTROS: PROYECTO DE LEY QUE DECLARA LA EMERGENCIA IGNEA EN LAS PROV. DE SANTA CRUZ, CHUBUT, NEUQUEN, RIO NEGRO Y LA PAMPA, POR EL PLAZO DE UN (1) AÑO.
</t>
  </si>
  <si>
    <t xml:space="preserve"> ESPÍNOLA, CARLOS MAURICIO - CRISTINA, ANDREA MARCELA - GADANO, NATALIA ELENA - CARAMBIA, JOSÉ MARÍA - TERENZI, EDITH ELIZABETH - KRONEBERGER, DANIEL RICARDO -</t>
  </si>
  <si>
    <t xml:space="preserve">LINARES Y OTROS: PROYECTO DE LEY QUE DECLARA ZONA DE DESASTRE Y DE EMERGENCIA GEOLOGICA, SOCIAL, URBANISTICA Y ECONOMICA, POR EL PLAZO DE (180) DIAS, A LA CIUDAD DE COMODORO RIVADAVIA, PROV. DEL CHUBUT.
</t>
  </si>
  <si>
    <t xml:space="preserve"> 108 18/03/2026 -</t>
  </si>
  <si>
    <t xml:space="preserve"> 19/01/2026 -</t>
  </si>
  <si>
    <t xml:space="preserve"> MARKS, ANA INÉS - LINARES, CARLOS ALBERTO - GONZÁLEZ, MARÍA TERESA MARGARITA - TERENZI, EDITH ELIZABETH - LÓPEZ, CÁNDIDA CRISTINA - CAPITANICH, JORGE MILTON - SORIA, MARTIN IGNACIO -</t>
  </si>
  <si>
    <t xml:space="preserve">CAPITANICH: PROYECTO DE LEY QUE DECLARA LA EMERGENCIA AMBIENTAL, ECONOMICA Y HABITACIONAL POR (180) DIAS, PRORROGABLE POR IGUAL PERIODO, EN LA PROV. DEL CHACO.
</t>
  </si>
  <si>
    <t xml:space="preserve"> 09/01/2026 -</t>
  </si>
  <si>
    <t>SORIA Y OTROS: PROYECTO DE LEY QUE DECLARA LA EMERGENCIA AMBIENTAL, ECONOMICA Y HABITACIONAL POR EL TERMINO DE (180) DIAS, PRORROGABLES POR IGUAL PLAZO EN ZONAS AFECTADAS POR LOS INCENDIOS Y EL RIESGO IGNEO EXTREMO VIGENTE EN LAS PROV. DE RIO NEGRO, CHUBUT, NEUQUEN Y SANTA CRUZ.</t>
  </si>
  <si>
    <t xml:space="preserve"> 06/01/2026 -</t>
  </si>
  <si>
    <t xml:space="preserve"> SORIA, MARTIN IGNACIO - LÓPEZ, CÁNDIDA CRISTINA - DE PEDRO, EDUARDO ENRIQUE - CAPITANICH, JORGE MILTON - MARKS, ANA INÉS - GONZÁLEZ, MARÍA TERESA MARGARITA - NEDER, JOSÉ EMILIO - KIRCHNER, ALICIA MARGARITA ANTONIA - LINARES, CARLOS ALBERTO - LÓPEZ, MARÍA FLORENCIA - BAHL, ADÁN HUMBERTO -</t>
  </si>
  <si>
    <t>CAPITANICH Y OTROS: PROYECTO DE LEY QUE DEROGA LOS DNU N° 614/24, 615/24 Y 941/25.</t>
  </si>
  <si>
    <t xml:space="preserve"> 107 18/03/2026 -</t>
  </si>
  <si>
    <t xml:space="preserve"> CAPITANICH, JORGE MILTON - KIRCHNER, ALICIA MARGARITA ANTONIA - DE PEDRO, EDUARDO ENRIQUE - GIMÉNEZ NAVARRO, MARÍA CELESTE - LÓPEZ, CÁNDIDA CRISTINA - SORIA, MARTIN IGNACIO - LEWANDOWSKI, MARCELO NÉSTOR - GONZÁLEZ, MARÍA TERESA MARGARITA - LINARES, CARLOS ALBERTO - LÓPEZ, MARÍA FLORENCIA - MARKS, ANA INÉS -</t>
  </si>
  <si>
    <t>DE SEGURIDAD INTERIOR Y NARCOTRÁFICO</t>
  </si>
  <si>
    <t xml:space="preserve">CORROZA: PROYECTO DE LEY SOBRE FICHA LIMPIA.
</t>
  </si>
  <si>
    <t xml:space="preserve"> 30/12/2025 -</t>
  </si>
  <si>
    <t xml:space="preserve"> CORROZA, JULIETA -</t>
  </si>
  <si>
    <t>SORIA: PLANTEA CUESTION DE PRIVILEGIO.</t>
  </si>
  <si>
    <t xml:space="preserve">  26/12/2025 -</t>
  </si>
  <si>
    <t xml:space="preserve"> 26/12/2025 -</t>
  </si>
  <si>
    <t xml:space="preserve"> 29/12/2025 -</t>
  </si>
  <si>
    <t xml:space="preserve"> SORIA, MARTIN IGNACIO -</t>
  </si>
  <si>
    <t>29/12/2025</t>
  </si>
  <si>
    <t>FERNANDEZ SAGASTI: PLANTEA CUESTION DE PRIVILEGIO.</t>
  </si>
  <si>
    <t>KIRCHNER: PROYECTO DE LEY QUE DEROGA LA RESOLUCION Nº 61/25 DE LA ADM. DE PARQUES NACIONALES (APN) Y SU MODIFICATORIA, POR LA CUAL SE SUSTITUYO EL ANTERIOR REGLAMENTO DE GUIAS DE LAS AREAS PROTEGIDAS NACIONALES.</t>
  </si>
  <si>
    <t>DE AMBIENTE Y DESARROLLO SUSTENTABLE</t>
  </si>
  <si>
    <t xml:space="preserve">MAYANS: PLANTEA CUESTION DE PRIVILEGIO .
</t>
  </si>
  <si>
    <t xml:space="preserve"> MAYANS, JOSÉ MIGUEL ÁNGEL -</t>
  </si>
  <si>
    <t>26/12/2025</t>
  </si>
  <si>
    <t xml:space="preserve">LOPEZ FLORENCIA: PLANTEA CUESTION DE PRIVILEGIO.
</t>
  </si>
  <si>
    <t xml:space="preserve"> LÓPEZ, MARÍA FLORENCIA -</t>
  </si>
  <si>
    <t xml:space="preserve">LOPEZ C.: PLANTEA CUESTION DE PRIVILEGIO  
</t>
  </si>
  <si>
    <t xml:space="preserve"> LÓPEZ, CÁNDIDA CRISTINA -</t>
  </si>
  <si>
    <t xml:space="preserve">SORIA: PLANTEA CUESTION DE PRIVILEGIO  
</t>
  </si>
  <si>
    <t xml:space="preserve">LINARES: PLANTEA CUESTION DE PRIVILEGIO  
</t>
  </si>
  <si>
    <t>PR</t>
  </si>
  <si>
    <t>RECALDE Y DI TULLIO: PROYECTO DE RESOLUCION SOLICITA SE ABSTENGA DE CONTINUAR CON LOS PROCESOS LICITATORIOS EN CURSO DE LOS ACTIVOS SUJETOS A PRIVATIZACION DE LAS EMPRESAS Y SOCIEDADES PROPIEDAD DEL ESTADO NACIONAL.</t>
  </si>
  <si>
    <t xml:space="preserve"> 19/12/2025 -</t>
  </si>
  <si>
    <t xml:space="preserve"> DI TULLIO, JULIANA - RECALDE, MARIANO -</t>
  </si>
  <si>
    <t xml:space="preserve">ZAMORA: PROYECTO DE LEY QUE CREA EL "RÉGIMEN TARIFARIO ESPECIAL Y TRANSITORIO PARA EL CONSUMO DE ENERGÍA ELECTRICA EN EL NORTE GRANDE ARGENTINO". 
</t>
  </si>
  <si>
    <t xml:space="preserve"> 104 18/03/2026 -</t>
  </si>
  <si>
    <t xml:space="preserve"> 16/12/2025 -</t>
  </si>
  <si>
    <t xml:space="preserve"> ZAMORA, GERARDO -</t>
  </si>
  <si>
    <t>DE MINERÍA, ENERGÍA Y COMBUSTIBLES</t>
  </si>
  <si>
    <t xml:space="preserve">ATAUCHE: PROYECTO DE LEY QUE REGULA LA JURA EN EL PODER LEGISLATIVO NACIONAL.
</t>
  </si>
  <si>
    <t xml:space="preserve"> 11/12/2025 -</t>
  </si>
  <si>
    <t xml:space="preserve"> ATAUCHE, EZEQUIEL -</t>
  </si>
  <si>
    <t>AVILA: PROYECTO DE LEY QUE ESTABLECE LA HISTORIA CLINICA ELECTRÓNICA INTEROPERABLE (HCEI) COMO SISTEMA UNIFICADO DE REGISTRO, ALMACENAMIENTO Y ACCESO A LA INFORMACION CLINICA DE LOS PACIENTES.</t>
  </si>
  <si>
    <t xml:space="preserve"> 103 18/03/2026 -</t>
  </si>
  <si>
    <t xml:space="preserve"> 09/12/2025 -</t>
  </si>
  <si>
    <t xml:space="preserve"> AVILA, BEATRIZ LUISA -</t>
  </si>
  <si>
    <t>LINARES: PROYECTO DE LEY DE REGULACION DE LA TECNICA DE GESTACION SOLIDARIA.</t>
  </si>
  <si>
    <t xml:space="preserve"> 05/12/2025 -</t>
  </si>
  <si>
    <t>CARAMBIA Y AVILA: PROYECTO DE LEY QUE CREA EL PLAN NACIONAL DE ATENCIÓN INTEGRAL DE LA SALUD MENTAL INFANTO-JUVENIL EN EL MARCO DE LA LEY 26.657 Y SU DECRETO REGLAMENTARIO 603/13 Y LA LEY 26.061.</t>
  </si>
  <si>
    <t xml:space="preserve"> 04/12/2025 -</t>
  </si>
  <si>
    <t xml:space="preserve"> CARAMBIA, JOSÉ MARÍA - AVILA, BEATRIZ LUISA -</t>
  </si>
  <si>
    <t>DE POBLACIÓN Y DESARROLLO  HUMANO</t>
  </si>
  <si>
    <t>ROMERO: PROYECTO DE LEY QUE ESTABLECE EL REGIMEN LEGAL DEL EJERCICIO PROFESIONAL DE LA PELUQUERIA, ESTILISMO Y ESTETICA CAPILAR.</t>
  </si>
  <si>
    <t xml:space="preserve"> ROMERO, JUAN CARLOS -</t>
  </si>
  <si>
    <t>FAMA Y OTROS: PROYECTO DE LEY QUE MODIFICA SU SIMILAR 14.771-YACIMIENTOS MINEROS DE AGUA DE DIONISIO (YMAD) - SOBRE LA INTEGRACION DEL DIRECTORIO, LA DISTRIBUCION DE LAS UTILIDADES Y SU FINANCIAMIENTO.</t>
  </si>
  <si>
    <t xml:space="preserve"> 02/12/2025 -</t>
  </si>
  <si>
    <t xml:space="preserve"> FAMA, FLAVIO SERGIO - ABAD, MAXIMILIANO - BLANCO, PABLO DANIEL - KRONEBERGER, DANIEL RICARDO - OLALLA, STELLA MARIS -</t>
  </si>
  <si>
    <t>05/12/2025</t>
  </si>
  <si>
    <t>ANDRADA Y OTROS: PROYECTO DE LEY QUE CREA UN REGIMEN DE INCENTIVOS PARA INVERSIONES EN CONSTRUCCION, MEDIANTE LA EXTERIORIZACION VOLUNTARIA DE TENENCIA DE MONEDA EXTRANJERA O NACIONAL NO DECLARADA.</t>
  </si>
  <si>
    <t xml:space="preserve"> MENDOZA, SANDRA MARIELA - ANDRADA, GUILLERMO EDUARDO - REJAL, JESÚS FERNANDO - MOISES, MARÍA CAROLINA - SALINO, FERNANDO ALDO -</t>
  </si>
  <si>
    <t>OLIVERA LUCERO: PROYECTO DE LEY QUE CREA EL REGISTRO UNICO NACIONAL DE PERSONAS INHIBIDAS (RUNPI).</t>
  </si>
  <si>
    <t xml:space="preserve"> 102 18/03/2026 -</t>
  </si>
  <si>
    <t xml:space="preserve"> 28/11/2025 -</t>
  </si>
  <si>
    <t>AVILA: PROYECTO DE LEY QUE MODIFICA SU SIMILAR 24.270 - IMPEDIMENTO DE CONTACTO - RESPECTO A LA EXTENSION A AQUELLOS A LOS QUE EL ORDENAMIENTO LEGAL LES OTORGUE DERECHO A VISITAS</t>
  </si>
  <si>
    <t xml:space="preserve">AVILA: PROYECTO DE LEY DE ACCESIBILIDAD COMUNICACIONAL EN ESTACIONES Y TERMINALES DE TRANSPORTE.
</t>
  </si>
  <si>
    <t>DE SISTEMAS, MEDIOS DE COMUNICACIÓN Y LIBERTAD DE EXPRESIÓN</t>
  </si>
  <si>
    <t xml:space="preserve">MOISES Y OTROS: PROYECTO DE LEY SOBRE EL REGIMEN ESPECIAL DE PROTECCION A LA LIBERTAD DE EXPRESION. </t>
  </si>
  <si>
    <t xml:space="preserve"> 27/11/2025 -</t>
  </si>
  <si>
    <t xml:space="preserve"> MOISES, MARÍA CAROLINA - ANDRADA, GUILLERMO EDUARDO - REJAL, JESÚS FERNANDO -</t>
  </si>
  <si>
    <t xml:space="preserve">AVILA: PROYECTO DE LEY QUE MODIFICA EL ART. 1 DE SU SIMILAR 13.944 - INCUMPLIMIENTO DE LOS DEBERES DE ASISTENCIA FAMILIAR- RESPECTO DE APLICAR UNA UNIDAD DE MEDIDA ARANCELARIA PARA DELITOS PENALES (UMADP) EN CASO DE INFRACCION A LA NORMA.
</t>
  </si>
  <si>
    <t xml:space="preserve">AVILA: PROYECTO DE LEY QUE MODIFICA EL ART. 18 DE SU SIMILAR 22.802 - LEALTAD COMERCIAL- RESPECTO DE APLICAR UNA UNIDAD DE MEDIDA ARANCELARIA PARA DELITOS PENALES (UMADP) EN CASO DE INFRACCION A LA NORMA. </t>
  </si>
  <si>
    <t>DE DERECHOS Y GARANTÍAS</t>
  </si>
  <si>
    <t xml:space="preserve">AVILA: PROYECTO DE LEY QUE MODIFICA EL ART. 31 DE SU SIMILAR 22.362- DE MARCAS Y DESIGNACIONES, RESPECTO DE APLICAR UNA UNIDAD DE MEDIDA ARANCELARIA PARA DELITOS PENALES.
</t>
  </si>
  <si>
    <t xml:space="preserve">AVILA: PROYECTO DE LEY QUE MODIFICA EL ART. 28 DE SU SIMILAR 22.351- DE LOS PARQUES NACIONALES, MONUMENTOS NATURALES Y RESERVAS NATURALES, RESPECTO DE LAS INFRACCIONES A LA LEY.
</t>
  </si>
  <si>
    <t>AVILA: PROYECTO DE LEY QUE MODIFICA EL ART. 34 DE SU SIMILAR 13.577- LEY ORGANICA PARA LA ADMINISTRACION GENERAL DE OBRAS SANITARIAS DE LA NACION, RESPECTO DE APLICAR UNA UNIDAD DE MEDIDA ARANCELARIA PARA DELITOS PENALES (UMADP).</t>
  </si>
  <si>
    <t xml:space="preserve">AVILA: PROYECTO DE LEY QUE MODIFICA SU SIMILAR 9.643 - WARRANTS-, RESPECTO DE INSTITUIR UNA UNIDAD DE MEDIDA ARANCELARIA PARA DELITOS PENALES (UMADP).
</t>
  </si>
  <si>
    <t>AVILA: PROYECTO DE LEY QUE MODIFICA SU SIMILAR 24.051 - RESIDUOS PELIGROSOS-, RESPECTO DE INSTITUIR UNA UNIDAD DE MEDIDA ARANCELARIA PARA DELITOS PENALES (UMADP).</t>
  </si>
  <si>
    <t>AVILA: PROYECTO DE LEY QUE MODIFICA SU SIMILAR 11.723 - PROPIEDAD INTELECTUAL-, RESPECTO DE INSTITUIR UNA UNIDAD DE MEDIDA ARANCELARIA PARA DELITOS PENALES (UMADP).</t>
  </si>
  <si>
    <t>AVILA: PROYECTO DE LEY QUE ENCOMIENDA AL BANCO CENTRAL DE LA REPUBLICA ARGENTINA LA EMISIÓN DE UNA NUEVA SERIE DE BILLETES, CON LA IMAGEN DEL GRAL. BERNABÉ ARAOZ.</t>
  </si>
  <si>
    <t>DE ECONOMÍA NACIONAL E INVERSIÓN</t>
  </si>
  <si>
    <t>AVILA: PROYECTO DE LEY QUE MODIFICA EL CODIGO PENAL, RESPECTO DE LA IMPRESCRIPTIBILIDAD DE DELITOS CONTRA LA INTEGRIDAD SEXUAL, CUANDO LAS VICTIMAS SEAN MENORES DE 18 AÑOS DE EDAD.</t>
  </si>
  <si>
    <t xml:space="preserve">AVILA: PROYECTO DE LEY QUE INCORPORA AL PROGRAMA MEDICO OBLIGATORIO (PMO), EL ESQUEMA COMPLETO DE VACUNACION CONTRA EL MENINGOCOCO DE TIPO B.
</t>
  </si>
  <si>
    <t>AVILA: PROYECTO DE LEY QUE CREA EL "PROGRAMA NACIONAL DE ESTIMULO A LA CONSTRUCCIÓN DE VIVIENDAS RURALES".</t>
  </si>
  <si>
    <t xml:space="preserve"> 101 18/03/2026 -</t>
  </si>
  <si>
    <t>ÁVILA: PROYECTO DE LEY QUE DISPONE LA REALIZACION DE UNA CAMPAÑA NACIONAL DE PREVENCION DE LA PATOLOGIA INFECCIOSA MIASIS.</t>
  </si>
  <si>
    <t>ÁVILA: PROYECTO DE LEY QUE INCORPORA AL PROGRAMA MEDICO OBLIGATORIO (PMO) TERAPIAS Y ACTIVIDADES ASISTIDAS CON ANIMALES.</t>
  </si>
  <si>
    <t xml:space="preserve">AVILA: PROYECTO DE LEY QUE ESTABLECE UNA CAMPAÑA NACIONAL DE CONCIENTIZACION, INFORMACION Y PREVENCION DE LA SIFILIS. 
</t>
  </si>
  <si>
    <t xml:space="preserve">AVILA: PROYECTO DE LEY QUE MODIFICA EL CODIGO PENAL, RESPECTO DE ESTABLECER LA UNIDAD DE MEDIDA ARANCELARIA (UMADP) PARA DELITOS PENALES.
</t>
  </si>
  <si>
    <t>DE ANGELI: PROYECTO DE LEY DE REGIMEN DE FINANCIAMIENTO PARA LA COMPRA DE TIERRAS RURALES MEDIANTE HIPOTECA PARCIAL AGROPECUARIA.</t>
  </si>
  <si>
    <t xml:space="preserve"> DE ANGELI, ALFREDO LUIS -</t>
  </si>
  <si>
    <t>DE AGRICULTURA, GANADERÍA Y PESCA</t>
  </si>
  <si>
    <t>MANZUR Y MENDOZA: PROYECTO DE LEY QUE CREA EL REGIMEN FEDERAL DE FOMENTO DE LAS ECONOMIAS REGIONALES (RFFER).</t>
  </si>
  <si>
    <t xml:space="preserve"> MANZUR, JUAN LUIS - MENDOZA, SANDRA MARIELA -</t>
  </si>
  <si>
    <t>DE ANGELI: PROYECTO DE LEY QUE CREA EL PROGRAMA NACIONAL DE ACCESO A LA VIVIENDA RURAL (PNVR)</t>
  </si>
  <si>
    <t>OLIVERA LUCERO: PROYECTO DE LEY QUE ESTABLECE LA OBLIGATORIEDAD DE LA CAPACITACION EN REANIMACION CARDIOPULMONAR (RCP) Y MANIOBRAS BASICAS DE EMERGENCIA PARA TODAS LOS EMPLEADOS Y FUNCIONARIOS DE LOS TRES PODERES Y DEL MINISTERIO PUBLICO DE LA NACION.</t>
  </si>
  <si>
    <t>MENDOZA Y OTRAS: PROYECTO DE LEY QUE DECLARA LA EMERGENCIA DE LA INFRAESTRUCTURA VIAL EN TODO EL TERRITORIO NACIONAL.</t>
  </si>
  <si>
    <t xml:space="preserve"> 26/11/2025 -</t>
  </si>
  <si>
    <t xml:space="preserve"> DURÉ, MARÍA EUGENIA - GARCÍA LARRABURU, SILVINA MARCELA - GONZÁLEZ, MARÍA TERESA MARGARITA - LÓPEZ, CÁNDIDA CRISTINA - MENDOZA, SANDRA MARIELA - PILATTI VERGARA, MARÍA INÉS - CORPACCI, LUCÍA BENIGNA -</t>
  </si>
  <si>
    <t>CORA Y OTRAS: PROYECTO DE LEY QUE CREA EL INSTITUTO NACIONAL DE RELEVAMIENTO Y SEGUIMIENTO HIDRAULICO (INRESH).</t>
  </si>
  <si>
    <t xml:space="preserve"> DE PEDRO, EDUARDO ENRIQUE - DURÉ, MARÍA EUGENIA - GARCÍA LARRABURU, SILVINA MARCELA - GONZÁLEZ, MARÍA TERESA MARGARITA - PILATTI VERGARA, MARÍA INÉS - CORA, STEFANIA -</t>
  </si>
  <si>
    <t>GADANO: PROYECTO DE LEY QUE MODIFICA SU SIMILAR 22.421 - PROTECCION Y CONSERVACION DE LA FAUNA SILVESTRE - RESPECTO DE INCREMENTAR LAS PENAS Y MULTAS POR DELITOS E INFRACCIONES.</t>
  </si>
  <si>
    <t xml:space="preserve"> 100 18/03/2026 -</t>
  </si>
  <si>
    <t xml:space="preserve"> GADANO, NATALIA ELENA -</t>
  </si>
  <si>
    <t>GADANO: PROYECTO DE LEY QUE CREA EL CORREDOR VIAL DENOMINADO GOOS - NAU (BALLENAS - GUANACO) EN EL TRAMO COMPRENDIDO ENTRE EL KILOMETRO 1043 Y 2842 DE LA RN 3.</t>
  </si>
  <si>
    <t>GADANO: PROYECTO DE LEY QUE CREA EL POLO LOGISTICO PATAGONICO CON ASENTAMIENTO EN EL PUERTO DE LA CIUDAD DE CALETA OLIVIA DE LA PROV. DE SANTA CRUZ.</t>
  </si>
  <si>
    <t>DE INDUSTRIA Y COMERCIO</t>
  </si>
  <si>
    <t>GADANO: PROYECTO DE LEY QUE CREA LA CAMPAÑA NACIONAL EDUCATIVA DE PREVENCION DE INCENDIOS FORESTALES.</t>
  </si>
  <si>
    <t>GARCIA LARRABURU Y GONZALEZ: PROYECTO DE LEY SOBRE REFORMA DEL CODIGO PENAL EN MATERIA DE CIBERDELITOS CONTRA LA INTEGRIDAD SEXUAL Y EL HONOR: INCORPORACION DEL DEEPFAKE Y LA VIOLENCIA SEXUAL DIGITAL NO CONSENTIDA.</t>
  </si>
  <si>
    <t xml:space="preserve"> GARCÍA LARRABURU, SILVINA MARCELA - GONZÁLEZ, MARÍA TERESA MARGARITA -</t>
  </si>
  <si>
    <t>UÑAC: PROYECTO DE RESOLUCION QUE RECHAZA LA PRESENTACION ANTE LA COP30, DE LA TERCERA CONTRIBUCION DETERMINADA A NIVEL NACIONAL, ANUNCIADA POR LA SUBSECRETARIA DE AMBIENTE DE LA NACION.</t>
  </si>
  <si>
    <t xml:space="preserve"> 20/11/2025 -</t>
  </si>
  <si>
    <t xml:space="preserve"> UÑAC, SERGIO MAURICIO -</t>
  </si>
  <si>
    <t>UÑAC: PROYECTO DE LEY SOBRE BENEFICIOS FISCALES PARA MIPYMES PARA LA INSTALACION DE PANELES SOLARES.</t>
  </si>
  <si>
    <t>GOERLING LARA: PROYECTO DE LEY QUE RECONOCE AL HOLODOMOR PROVOCADO POR LA EX URSS CONTRA EL PUEBLO UCRANIANO, ENTRE LOS AÑOS 1932 Y 1933, COMO UN ACTO DE GENOCIDIO.</t>
  </si>
  <si>
    <t xml:space="preserve"> 99 18/03/2026 -</t>
  </si>
  <si>
    <t xml:space="preserve"> GOERLING LARA, ENRIQUE MARTÍN -</t>
  </si>
  <si>
    <t>GARCIA LARRABURU Y GONZALEZ: PROYECTO DE LEY DE RECONOCIMIENTO INTEGRAL DE LOS DERECHOS DE LAS PERSONAS CON CAPACIDAD DE MENSTRUAR EN LA ETAPA DEL CLIMATERIO Y LA MENOPAUSIA.</t>
  </si>
  <si>
    <t xml:space="preserve"> GONZÁLEZ, MARÍA TERESA MARGARITA - GARCÍA LARRABURU, SILVINA MARCELA -</t>
  </si>
  <si>
    <t>BANCA DE LA MUJER</t>
  </si>
  <si>
    <t xml:space="preserve">AVILA: PROYECTO DE LEY QUE DECLARA A LA CDAD. DE SAN MIGUEL DE TUCUMAN, PROV. DE TUCUMAN, "CAPITAL NACIONAL DE LA INDEPENDENCIA". 
</t>
  </si>
  <si>
    <t xml:space="preserve"> 19/11/2025 -</t>
  </si>
  <si>
    <t xml:space="preserve">AVILA: PROYECTO DE LEY SOBRE PROMOCION DEL EMPLEO ARGENTINO EN LA INDUSTRIA DE CRUCEROS. </t>
  </si>
  <si>
    <t>DE TURISMO</t>
  </si>
  <si>
    <t>AVILA: PROYECTO DE LEY QUE INCORPORA EL ART. 82 BIS DE SU SIMILAR 24.449 - TRANSITO, RESPECTO A LA REINCIDENCIA EN CONDUCCION BAJO INTOXICACION.</t>
  </si>
  <si>
    <t>AVILA: PROYECTO DE LEY QUE INSTITUYE EL DIA NACIONAL DEL PREMATURO, EL 17 DE NOVIEMBRE DE CADA AÑO.</t>
  </si>
  <si>
    <t>AVILA: PROYECTO DE LEY QUE DECLARA PATRIMONIO CULTURAL INMATERIAL EN LOS TERMINOS DE LA LEY 26.118 A LAS CELEBRACIONES, PEREGRINACIONES MISAS Y PROCESIONES DE HONOR A LA VIRGEN DE LA MERCED, EN LA PROV. DE TUCUMAN, EL 24 DE SEPTIEMBRE DE CADA AÑO</t>
  </si>
  <si>
    <t>REJAL Y OTROS: PROYECTO DE LEY SOBRE CAPACIDADES INSTITUCIONALES PARA LA ADMINISTRACIÓN DE TRIBUTOS.</t>
  </si>
  <si>
    <t xml:space="preserve"> REJAL, JESÚS FERNANDO - ANDRADA, GUILLERMO EDUARDO - MOISES, MARÍA CAROLINA - SALINO, FERNANDO ALDO - GARCÍA LARRABURU, SILVINA MARCELA -</t>
  </si>
  <si>
    <t xml:space="preserve">DE COPARTICIPACIÓN FEDERAL DE IMPUESTOS </t>
  </si>
  <si>
    <t>CARAMBIA Y PILATTI VERGARA: PROYECTO DE LEY QUE INCORPORA EL ART. 179 BIS TITULO VII CAPITULO II DE SU SIMILAR N° 20.744 - CONTRATO DE TRABAJO-  RESPECTO DE EXTENDER LA LICENCIA POR MATERNIDAD POR PERIODO DE LACTANCIA.</t>
  </si>
  <si>
    <t xml:space="preserve"> 18/11/2025 -</t>
  </si>
  <si>
    <t xml:space="preserve"> CARAMBIA, JOSÉ MARÍA - PILATTI VERGARA, MARÍA INÉS -</t>
  </si>
  <si>
    <t>CRISTINA Y JUEZ: PROYECTO DE LEY QUE CREA EL PROGRAMA NACIONAL DE CIUDADANIA DIGITAL EDUCATIVA.</t>
  </si>
  <si>
    <t xml:space="preserve"> 17/11/2025 -</t>
  </si>
  <si>
    <t xml:space="preserve"> CRISTINA, ANDREA MARCELA - JUEZ, LUIS ALFREDO -</t>
  </si>
  <si>
    <t>CORA Y OTRAS: PROYECTO DE LEY DE PROMOCION Y FOMENTO DE LA CULTURA VIVA COMUNITARIA EN TODO EL TERRITORIO DE LA REPUBLICA ARGENTINA.</t>
  </si>
  <si>
    <t xml:space="preserve"> 98 18/03/2026 -</t>
  </si>
  <si>
    <t xml:space="preserve"> GONZÁLEZ, MARÍA TERESA MARGARITA - KIRCHNER, ALICIA MARGARITA ANTONIA - GARCÍA LARRABURU, SILVINA MARCELA - PILATTI VERGARA, MARÍA INÉS - CORA, STEFANIA -</t>
  </si>
  <si>
    <t>CRISTINA Y JUEZ: PROYECTO DE LEY QUE MODIFICA EL CODIGO PENAL DE LA NACION RESPECTO DE ADECUAR LAS NORMAS PENALES RELATIVAS AL GROOMING.</t>
  </si>
  <si>
    <t xml:space="preserve"> 14/11/2025 -</t>
  </si>
  <si>
    <t>GARCIA LARRABURU Y GONZALEZ: PROYECTO DE LEY ORGANICA DEL INSTITUTO NACIONAL DE TECNOLOGIA INDUSTRIAL (INTI).</t>
  </si>
  <si>
    <t>DE CIENCIA Y TECNOLOGÍA</t>
  </si>
  <si>
    <t>LOPEZ FLORENCIA Y OTROS: PROYECTO DE RESOLUCION QUE CITA AL PRESIDENTE DEL BANCO CENTRAL DE LA REPUBLICA ARGENTINA, SR. SANTIAGO BAUSILI Y OTROS FUNCIONARIOS, PARA SU INTERPELACION CONFORME AL ART. 71 DE LA C.N., Y EL ART. 214 DEL REGLAMENTO DEL HSN.</t>
  </si>
  <si>
    <t xml:space="preserve"> 13/11/2025 -</t>
  </si>
  <si>
    <t xml:space="preserve"> LÓPEZ, MARÍA FLORENCIA - MAYANS, JOSÉ MIGUEL ÁNGEL - FERNÁNDEZ SAGASTI, ANABEL - CORA, STEFANIA - RECALDE, MARIANO - PARRILLI, OSCAR ISIDRO - LÓPEZ, CÁNDIDA CRISTINA - PILATTI VERGARA, MARÍA INÉS - REJAL, JESÚS FERNANDO - GONZÁLEZ, MARÍA TERESA MARGARITA -</t>
  </si>
  <si>
    <t>ABAD: PROYECTO DE LEY QUE MODIFICA EL INC. 2 DEL ART. 57 DE LA LEY 19.101- PERSONAL MILITAR- SOBRE LOS PORCENTAJES DE LOS SUPLEMENTOS POR TITULOS.</t>
  </si>
  <si>
    <t xml:space="preserve"> ABAD, MAXIMILIANO -</t>
  </si>
  <si>
    <t>DE DEFENSA NACIONAL</t>
  </si>
  <si>
    <t>AVILA: PROYECTO DE LEY QUE RATIFICA EL CONVENIO 183 DE LA ORGANIZACIÓN INTERNACIONAL DEL TRABAJO SOBRE LA PROTECCION DE LA MATERNIDAD.</t>
  </si>
  <si>
    <t>AVILA: PROYECTO DE LEY QUE MODIFICA EL ART. 52 BIS DE SU SIMILAR 24.240 - DE DEFENSA DEL CONSUMIDOR - RESPECTO DE LA APLICACIÓN DEL DAÑO PUNITIVO E INCORPORA EL ART. 52 TER., QUE ESTABLECE LOS CRITERIOS PARA LA DETERMINACION DEL MONTO DE LA MULTA CIVIL.</t>
  </si>
  <si>
    <t>AVILA: PROYECTO DE LEY QUE MODIFICA EL ARTICULO 607 DEL CODIGO CIVIL Y COMERCIAL DE LA NACION, EN LOS SUPUESTOS DE DECLARACION JUDICIAL DE LA SITUACION DE ADOPTABILIDAD.</t>
  </si>
  <si>
    <t xml:space="preserve">AVILA: PROYECTO DE LEY QUE ESTABLECE QUE TODA EMPRESA PUBLICA Y PRIVADA, PRESTADORA DE SERVICIOS, DEBERAN EMITIR FACTURAS EN SISTEMA BRAILLE GRATUITAMENTE, A REQUERIMIENTO DEL USUARIO O CONSUMIDOR NO VIDENTE. </t>
  </si>
  <si>
    <t>ESPINOLA Y OTROS: PROYECTO DE LEY QUE ESTABLECE EL PROCESO DE INCORPORACION DE CAPITAL PRIVADO EN EL SISTEMA NUCLEAR ARGENTINO.</t>
  </si>
  <si>
    <t xml:space="preserve"> 97 18/03/2026 -</t>
  </si>
  <si>
    <t xml:space="preserve"> ESPÍNOLA, CARLOS MAURICIO - ROMERO, JUAN CARLOS - VIGO, ALEJANDRA MARÍA -</t>
  </si>
  <si>
    <t>14/11/2025</t>
  </si>
  <si>
    <t>BICAMERAL DE REFORMA DEL ESTADO Y DEL SEGUIMIENTO DE LAS PRIVATIZACIONES (LEY 23.696)</t>
  </si>
  <si>
    <t>CARAMBIA: PROYECTO DE LEY QUE MODIFICA SU SIMILAR 22.127 - SISTEMA NACIONAL DE RESIDENCIAS DE LA SALUD -, RESPECTO DE LA BECA ANUAL OTORGADA A EXTRANJEROS.</t>
  </si>
  <si>
    <t xml:space="preserve"> CARAMBIA, JOSÉ MARÍA -</t>
  </si>
  <si>
    <t>LEAVY Y LINARES: PROYECTO DE RESOLUCION QUE DECLARA DE INTERES LAS DOS PLACAS RECORDATORIAS EN HOMENAJE A LOS 44 HEROES Y HEROINA DEL SUBMARINO A.R.A. "SAN JUAN".</t>
  </si>
  <si>
    <t xml:space="preserve"> LEAVY, SERGIO NAPOLEÓN - LINARES, CARLOS ALBERTO -</t>
  </si>
  <si>
    <t>LEWANDOWSKI: PROYECTO DE LEY QUE MODIFICA SU SIMILAR 25.065 - TARJETAS DE CREDITO -, RESPECTO DE REDUCIR LAS TASAS DE INTERES APLICADAS A LA FINANCIACION DE SALDOS.</t>
  </si>
  <si>
    <t xml:space="preserve"> 12/11/2025 -</t>
  </si>
  <si>
    <t>2026-03-18 00:00:00</t>
  </si>
  <si>
    <t xml:space="preserve"> LEWANDOWSKI, MARCELO NÉSTOR -</t>
  </si>
  <si>
    <t>ABDALA Y OTROS: PROYECTO DE RESOLUCION QUE DECLARA DE INTERES LA OBRA HOMENAJE AL PAPA FRANCISCO EN LA SESION ORDINARIA DEL 24 DE ABRIL DE 2025 Y DISPONE SU IMPRESION Y PUBLICACION.</t>
  </si>
  <si>
    <t xml:space="preserve"> ABDALA, BARTOLOMÉ ESTEBAN - ARRASCAETA, IVANNA MARCELA - OLIVERA LUCERO, BRUNO ANTONIO - BEDIA, VILMA FACUNDA - ROMERO, JUAN CARLOS -</t>
  </si>
  <si>
    <t>GADANO: PROYECTO DE LEY QUE DECLARA MONUMENTO NATURAL EN LOS TERMINOS DE LA LEY 22.351, AL PINGÜINO DE PENACHO AMARILLO (EUDYPTES CHRYSOCOME).</t>
  </si>
  <si>
    <t>12/11/2025</t>
  </si>
  <si>
    <t xml:space="preserve">ALVAREZ RIVERO: PROYECTO DE LEY QUE DECLARA COMPRENDIDA EN EL REGIMEN DEL DCTO. LEY 4362/55, RATIFICADO POR LEY 14.467, A LA ACADEMIA DE CIENCIAS MEDICAS DE CORDOBA, LA QUE PASARA A DENOMINARSE ACADEMIA NACIONAL DE CIENCIAS MEDICAS DE CORDOBA.
</t>
  </si>
  <si>
    <t xml:space="preserve"> 96 18/03/2026 -</t>
  </si>
  <si>
    <t xml:space="preserve"> 06/11/2025 -</t>
  </si>
  <si>
    <t xml:space="preserve"> ALVAREZ RIVERO, CARMEN -</t>
  </si>
  <si>
    <t xml:space="preserve">OLIVERA LUCERO: PROYECTO DE LEY QUE ESTABLECE UNA CAMPAÑA NACIONAL DE INFORMACIÓN, SENSIBILIZACIÓN Y PREVENCIÓN DEL SÍNDROME URÉMICO HEMOLÍTICO (SUH).
</t>
  </si>
  <si>
    <t xml:space="preserve">CARAMBIA Y OTRAS: PROYECTO DE LEY QUE MODIFICA EL ART. 15 DE SU SIMILAR 26.427 - SISTEMA DE PASANTIAS EDUCATIVAS-, RESPECTO DE OTORGAR A LOS PASANTES BENEFICIOS REGULARES Y LICENCIAS.
</t>
  </si>
  <si>
    <t xml:space="preserve"> GARCÍA LARRABURU, SILVINA MARCELA - CARAMBIA, JOSÉ MARÍA - GADANO, NATALIA ELENA -</t>
  </si>
  <si>
    <t xml:space="preserve">AVILA: PROYECTO DE LEY QUE MODIFICA SU SIMILAR 27.452 - REGIMEN DE REPARACION ECONOMICA PARA NIÑAS, NIÑOS Y ADOLESCENTES -, RESPECTO DE INCORPORAR AL HOMICIDIO DOLOSO EN LAS DISPOSICIONES GENERALES.
</t>
  </si>
  <si>
    <t xml:space="preserve">AVILA: PROYECTO DE LEY QUE MODIFICA SU SIMILAR 24.841 - PATENTES DE INVENCION -, RESPECTO DE LAS PATENTES DESARROLLADAS CON UTILIZACION DE INTELIGENCIA ARTIFICIAL.
</t>
  </si>
  <si>
    <t xml:space="preserve">AVILA: PROYECTO DE LEY QUE CREA UN JUZGADO FEDERAL DE PRIMERA INSTANCIA N°4 EN LA PROV. DE TUCUMAN.
</t>
  </si>
  <si>
    <t xml:space="preserve">AVILA: PROYECTO DE LEY QUE INCORPORA AL ART. 5º DEFINICIONES DE SU SIMILAR 24.449 - TRANSITO -, RESPECTO DE VEHICULOS ELECTRICOS.
</t>
  </si>
  <si>
    <t xml:space="preserve"> 95 18/03/2026 -</t>
  </si>
  <si>
    <t>AVILA: PROYECTO DE LEY QUE MODIFICA EL ART. 11 INCISO C) DE LA LEY 24.449 - TRANSITO -, RESPECTO DE LAS CONDICIONES PARA CONDUCIR VEHICULOS ELECTRICOS.</t>
  </si>
  <si>
    <t xml:space="preserve">AVILA: PROYECTO DE LEY QUE MODIFICA EL ART. 16 DE SU SIMILAR 24.449 - TRANSITO -, RESPECTO INCLUIR EN LAS CLASES DE LICENCIAS PARA CONDUCIR A LOS AUTOMOTORES ELECTRICOS.
</t>
  </si>
  <si>
    <t xml:space="preserve">AVILA: PROYECTO DE LEY QUE CREA EL PUERTO SECO Y CENTRO LOGISTICO DEL SUR DE TUCUMÁN.
</t>
  </si>
  <si>
    <t xml:space="preserve">AVILA: PROYECTO DE LEY QUE INCORPORA AL PROGRAMA MEDICO OBLIGATORIO (PMO) EL ESQUEMA COMPLETO DE VACUNACION CONTRA EL VIRUS DEL DENGUE.
</t>
  </si>
  <si>
    <t xml:space="preserve">AVILA: PROYECTO DE LEY QUE GARANTIZA EL DERECHO DE LAS PERSONAS BENEFICIARIAS DEL SISTEMA PREVISIONAL A PERCIBIR SUS HABERES POR VENTANILLA EN LAS ENTIDADES BANCARIAS Y FINANCIERAS AUTORIZADAS. 
</t>
  </si>
  <si>
    <t xml:space="preserve"> 05/11/2025 -</t>
  </si>
  <si>
    <t>AVILA: PROYECTO DE LEY QUE MODIFICA EL ART. 55 DE SU SIMILAR 24.449 - TRANSITO- RESPECTO DE LAS CONDICIONES DE SEGURIDAD EN TRANSPORTE DE ESCOLARES.</t>
  </si>
  <si>
    <t xml:space="preserve"> 94 18/03/2026 -</t>
  </si>
  <si>
    <t xml:space="preserve">AVILA: PROYECTO DE LEY QUE MODIFICA EL CODIGO PENAL DE LA NACION, SOBRE EL INCREMENTO DE PENAS EN EL DELITO DE GROOMING.
</t>
  </si>
  <si>
    <t>AVILA: PROYECTO DE LEY QUE MODIFICA SU SIMILAR 22.421 - FAUNA SILVESTRE -, RESPECTO DE ACTUALIZAR EL REGIMEN LEGAL VIGENTE EN MATERIA DE CONSERVACION.</t>
  </si>
  <si>
    <t xml:space="preserve"> 11/11/2025 -</t>
  </si>
  <si>
    <t>11/11/2025</t>
  </si>
  <si>
    <t xml:space="preserve">AVILA: PROYECTO DE LEY QUE MODIFICA EL ART. 92º DE SU SIMILAR 26.206 - EDUCACION NACIONAL -, RESPECTO DE INCORPORAR CONTENIDOS SOBRE LA LEGITIMA SOBERANIA SOBRE LAS ISLAS MALVINAS, GEORGIAS DEL SUR, SANDWICH DEL SUR Y LOS ESPACIOS MARITIMOS E INSULARES CORRESPONDIENTES.
</t>
  </si>
  <si>
    <t>AVILA: PROYECTO DE LEY QUE MODIFICA EL ART. 150 DEL CODIGO PENAL DE LA NACION, RESPECTO DE INCORPORAR UN AGRAVANTE EN EL DELITO DE VIOLACION DE DOMICILIO.</t>
  </si>
  <si>
    <t xml:space="preserve">GARCIA LARRABURU: PROYECTO DE LEY QUE CREA EL RÉGIMEN PARA LA REGULACIÓN DE LA EUTANASIA Y EL SUICIDIO MEDICAMENTE ASISTIDO.
</t>
  </si>
  <si>
    <t xml:space="preserve"> 04/11/2025 -</t>
  </si>
  <si>
    <t xml:space="preserve"> GARCÍA LARRABURU, SILVINA MARCELA -</t>
  </si>
  <si>
    <t>LEWANDOWSKI: PROYECTO DE LEY QUE MODIFICA SU SIMILAR 24.443 -FONDO DE EMERGENCIA SOCIAL PARA EL CONURBANO DE LAS CIUDADES DE ROSARIO Y SANTA FE -, RESPECTO DE ACTUALIZAR LOS RECURSOS ASIGNADOS DE DICHO FONDO.</t>
  </si>
  <si>
    <t xml:space="preserve"> 30/10/2025 -</t>
  </si>
  <si>
    <t>CARAMBIA Y GADANO: PROYECTO DE LEY QUE REGULA LAS ACTIVIDADES DE ELABORACIÓN, ALMACENAJE, COMERCIALIZACION, MEZCLA Y AUTOCONSUMO DE BIOCOMBUSTIBLES.</t>
  </si>
  <si>
    <t xml:space="preserve"> CARAMBIA, JOSÉ MARÍA - GADANO, NATALIA ELENA -</t>
  </si>
  <si>
    <t>ROMERO: PROYECTO DE LEY QUE MODIFICA SU SIMILAR 27.146 -ORGANIZACIÓN Y COMPETENCIA DE LA JUSTICIA FEDERAL Y NACIONAL PENAL- Y 27.150 - CODIGO PROCESAL PENAL FEDERAL -, QUE CREA UNA OFICINA JUDICIAL ANTE LA CAMARA NACIONAL ELECTORAL.</t>
  </si>
  <si>
    <t xml:space="preserve"> 93 18/03/2026 -</t>
  </si>
  <si>
    <t xml:space="preserve"> 29/10/2025 -</t>
  </si>
  <si>
    <t>ROMERO: PROYECTO DE LEY QUE CREA EL INSTITUTO NACIONAL GÜEMESIANO.</t>
  </si>
  <si>
    <t xml:space="preserve"> 24/10/2025 -</t>
  </si>
  <si>
    <t>29/10/2025</t>
  </si>
  <si>
    <t>ESPINOLA Y ROMERO: PROYECTO DE LEY QUE CREA LA OFICINA NACIONAL DE SEGUIMIENTO DE APUESTAS EN LINEA ILEGALES EN EL AMBITO DEL ENTE NACIONAL DE COMUNICACIONES (ENACOM).</t>
  </si>
  <si>
    <t xml:space="preserve"> ESPÍNOLA, CARLOS MAURICIO - ROMERO, JUAN CARLOS -</t>
  </si>
  <si>
    <t>LOSADA: PROYECTO DE LEY QUE MODIFICA EL CODIGO PENAL DE LA NACION RESPECTO DEL ABUSO DE ARMAS E INTIMIDACIÓN PÚBLICA.</t>
  </si>
  <si>
    <t xml:space="preserve"> 23/10/2025 -</t>
  </si>
  <si>
    <t>FAMA: PROYECTO DE LEY QUE INSTITUYE EL AÑO 2026 "AÑO DEL BICENTENARIO DEL NATALICIO DEL BEATO ESQUIÚ" Y DISPONE LA UTILIZACION DE LA DENOMINACION EN TODO DOCUMENTO OFICIAL.</t>
  </si>
  <si>
    <t xml:space="preserve"> 22/10/2025 -</t>
  </si>
  <si>
    <t>LOPEZ C. Y OTROS: PROYECTO DE LEY QUE DEROGA LOS DECRETOS N° 333/25 -MODIFICACION DE TASAS- Y N° 334/25 -REGIMEN ESPECIAL FISCAL ADUANERO-.</t>
  </si>
  <si>
    <t xml:space="preserve"> 92 18/03/2026 -</t>
  </si>
  <si>
    <t xml:space="preserve"> 21/10/2025 -</t>
  </si>
  <si>
    <t xml:space="preserve"> LÓPEZ, CÁNDIDA CRISTINA - CORPACCI, LUCÍA BENIGNA - LÓPEZ, MARÍA FLORENCIA - RODAS, ANTONIO JOSÉ - MONTENEGRO, GERARDO ANTENOR - NEDER, JOSÉ EMILIO - LINARES, CARLOS ALBERTO - REJAL, JESÚS FERNANDO - GARCÍA LARRABURU, SILVINA MARCELA - MANZUR, JUAN LUIS - PARRILLI, OSCAR ISIDRO - SALINO, FERNANDO ALDO - DURÉ, MARÍA EUGENIA - GIMÉNEZ NAVARRO, MARÍA CELESTE - LEAVY, SERGIO NAPOLEÓN - BENSUSÁN, DANIEL PABLO - LEWANDOWSKI, MARCELO NÉSTOR - ANDRADA, GUILLERMO EDUARDO - MENDOZA, SANDRA MARIELA - KIRCHNER, ALICIA MARGARITA ANTONIA - DOÑATE, CLAUDIO MARTÍN - DE PEDRO, EDUARDO ENRIQUE - MOISES, MARÍA CAROLINA - UÑAC, SERGIO MAURICIO - CORA, STEFANIA - FERNÁNDEZ SAGASTI, ANABEL - MAYANS, JOSÉ MIGUEL ÁNGEL - PILATTI VERGARA, MARÍA INÉS - RECALDE, MARIANO - GIMÉNEZ, NORA DEL VALLE - GONZÁLEZ, MARÍA TERESA MARGARITA -</t>
  </si>
  <si>
    <t>ARCE Y ROJAS DECUT: PROYECTO DE LEY SOBRE LICENCIA ESPECIAL PARA CONTROLES PREVENTIVOS.</t>
  </si>
  <si>
    <t xml:space="preserve"> ARCE, CARLOS OMAR - ROJAS DECUT, SONIA ELIZABETH -</t>
  </si>
  <si>
    <t>LOPEZ FLORENCIA: PROYECTO DE RESOLUCION QUE CITA AL SR. MINISTRO DE DESREGULACION Y TRANSFORMACION DEL ESTADO, DR. FEDERICO ADOLFO STURZENEGGER, PARA SU INTERPELACION CONFORME AL ART. 71 DE LA C.N., Y EL ART. 214 DEL REGLAMENTO DEL HSN.</t>
  </si>
  <si>
    <t>DE ASUNTOS ADMINISTRATIVOS Y MUNICIPALES</t>
  </si>
  <si>
    <t xml:space="preserve">UÑAC: PROYECTO DE LEY QUE MODIFICA SU SIMILAR 14.346 -PROTECCION ANIMAL- RESPECTO DE LAS PENAS Y MULTAS PARA LOS ACTOS DE MALTRATO O DE CRUELDAD. </t>
  </si>
  <si>
    <t xml:space="preserve"> 20/10/2025 -</t>
  </si>
  <si>
    <t>SALINO: COMUNICA FE DE ERRATAS EN EL PROYECTO DE DECLARACIÓN QUE EXPRESA BENEPLACITO POR LA OBTENCION DEL PRIMER PREMIO, POR PARTE DEL TAMBO CAPRINO "LA ALEGRIA", DE LA PROV. SAN LUIS, EN LA CATEGORIA QUESOS DUROS DE LECHE DE CABRA, EN EL 14° CONCURSO NACIONAL DE QUESOS DE TOTORAS, EN LA PROV. DE SANTA FE. (REF. S. 1805/25</t>
  </si>
  <si>
    <t xml:space="preserve">  18/03/2026 -</t>
  </si>
  <si>
    <t xml:space="preserve"> 16/10/2025 -</t>
  </si>
  <si>
    <t xml:space="preserve"> SALINO, FERNANDO ALDO -</t>
  </si>
  <si>
    <t>LINARES: PROYECTO DE LEY QUE INSTITUYE EL 7 DE OCTUBRE DE CADA AÑO COMO "DIA NACIONAL DEL TULIPAN".</t>
  </si>
  <si>
    <t>OLIVERA LUCERO: PROYECTO DE LEY QUE ESTABLECE UNA CAMPAÑA NACIONAL DE COMUNICACIÓN, CONCIENTIZACION Y PREVENCION FRENTE AL DENGUE, ZIKA Y CHIKUNGUNYA.</t>
  </si>
  <si>
    <t xml:space="preserve"> 91 18/03/2026 -</t>
  </si>
  <si>
    <t>GADANO: PROYECTO DE LEY QUE MODIFICA SUS SIMILARES 26.190 - RÉGIMEN DE FOMENTO NAC. PARA EL USO DE FUENTES RENOVABLES DE ENERGÍA DESTINADA A LA PRODUCCIÓN DE ENERGÍA ELÉCTRICA Y S/M - LEY 27.191 -., RESPECTO DE LA MODIFICACION DE QUEBRANTOS Y ACTUALIZACION DE PLAZOS.</t>
  </si>
  <si>
    <t>CARAMBIA Y GADANO: PROYECTO DE LEY QUE CREA EL PROGRAMA NACIONAL DE CREACIÓN Y FORTALECIMIENTO DE BANCOS DE LECHE MATERNA HUMANA (BLMH).</t>
  </si>
  <si>
    <t xml:space="preserve"> 90 18/03/2026 -</t>
  </si>
  <si>
    <t xml:space="preserve"> 15/10/2025 -</t>
  </si>
  <si>
    <t xml:space="preserve"> CARAMBIA, JOSÉ MARÍA - GADANO, NATALIA ELENA - AVILA, BEATRIZ LUISA -</t>
  </si>
  <si>
    <t>PARRILLI Y OTROS: PROYECTO DE LEY QUE DEROGA LOS DECRETOS N° 117/2024, 548/2024, 765/2024, 138/2025, 143/2025, 150/2025, 207/2025 Y 208/2025.</t>
  </si>
  <si>
    <t xml:space="preserve"> PARRILLI, OSCAR ISIDRO - GIMÉNEZ, NORA DEL VALLE - LÓPEZ, CÁNDIDA CRISTINA - DOÑATE, CLAUDIO MARTÍN - DURÉ, MARÍA EUGENIA - LÓPEZ, MARÍA FLORENCIA - CORA, STEFANIA - SAPAG, SILVIA ESTELA  - GARCÍA LARRABURU, SILVINA MARCELA - KIRCHNER, ALICIA MARGARITA ANTONIA -</t>
  </si>
  <si>
    <t>LOPEZ FLORENCIA: PROYECTO DE LEY QUE DECLARA COMO LUGAR HISTORICO NACIONAL, EN LOS TERMINOS DE LA LEY 12.665, AL EMPLAZAMIENTO DE LOMA BLANCA Y COMO MONUMENTO HISTORICO NACIONAL AL MONOLITO DE LA LOC. DE OLTA, PROV. DE LA RIOJA.</t>
  </si>
  <si>
    <t>LEAVY: COMUNICA FE DE ERRATAS EN EL PROYECTO DE LEY QUE CREA EL FONDO NACIONAL DE INCENTIVO DOCENTE. (REF. S. 1788/25)</t>
  </si>
  <si>
    <t xml:space="preserve"> 14/10/2025 -</t>
  </si>
  <si>
    <t xml:space="preserve"> LEAVY, SERGIO NAPOLEÓN -</t>
  </si>
  <si>
    <t>GALARETTO: PROYECTO DE RESOLUCION QUE SOLICITA LA IMPLEMENTACION DE CAMPAÑAS DE PREVENCION Y CONCIENTIZACION SOBRE LOS RIESGOS AMBIENTALES PARA LA SALUD PUBLICA.</t>
  </si>
  <si>
    <t xml:space="preserve"> GALARETTO, EDUARDO HORACIO -</t>
  </si>
  <si>
    <t>GALARETTO Y OTROS: PROYECTO DE LEY SOBRE RÉGIMEN DEL CONTRATO DE CUIDADOS INTEGRALES EN ESTABLECIMIENTOS GERONTOLÓGICOS.</t>
  </si>
  <si>
    <t xml:space="preserve"> GALARETTO, EDUARDO HORACIO - BLANCO, PABLO DANIEL - AVILA, BEATRIZ LUISA - VALENZUELA, MERCEDES GABRIELA - OLALLA, STELLA MARIS -</t>
  </si>
  <si>
    <t>GALARETTO Y JURI: PROYECTO DE LEY QUE GARANTIZA LA PROTECCION INTEGRAL DE LOS DERECHOS DE PERSONAS MENORES DE EDAD QUE PARTICIPEN EN ACTIVIDADES DEPORTIVAS.</t>
  </si>
  <si>
    <t xml:space="preserve"> GALARETTO, EDUARDO HORACIO - JURI, MARIANA -</t>
  </si>
  <si>
    <t>ALVAREZ RIVERO: PROYECTO DE LEY SOBRE REGIMEN DE APORTES Y CONTRIBUCIONES SOLIDARIAS EN EL MARCO DE LAS RELACIONES LABORALES.</t>
  </si>
  <si>
    <t>UÑAC: PROYECTO DE LEY QUE DECLARA COMO TRABAJO INSALUBRE A LAS TAREAS DESEMPEÑADAS POR EL PERSONAL AFECTADO A LOS SERVICIOS FUNEBRES, CREMATORIOS Y CEMENTERIOS.</t>
  </si>
  <si>
    <t xml:space="preserve">LEAVY: PROYECTO DE LEY QUE CREA EL FONDO NACIONAL DE INCENTIVO DOCENTE.
</t>
  </si>
  <si>
    <t xml:space="preserve"> 13/10/2025 -</t>
  </si>
  <si>
    <t>14/10/2025</t>
  </si>
  <si>
    <t xml:space="preserve">LEAVY: PROYECTO DE LEY DE REGULARIZACION DE MOTOCICLETAS.
</t>
  </si>
  <si>
    <t>REJAL Y OTROS: PROYECTO DE LEY DE PROTECCION Y PRESERVACION DEL CICLO NUCLEAR ARGENTINO.</t>
  </si>
  <si>
    <t xml:space="preserve"> 89 18/03/2026 -</t>
  </si>
  <si>
    <t xml:space="preserve"> 09/10/2025 -</t>
  </si>
  <si>
    <t xml:space="preserve"> REJAL, JESÚS FERNANDO - MOISES, MARÍA CAROLINA - ANDRADA, GUILLERMO EDUARDO - SALINO, FERNANDO ALDO -</t>
  </si>
  <si>
    <t xml:space="preserve">FERNANDEZ SAGASTI: PROYECTO DE LEY QUE MODIFICA EL CODIGO PENAL DE LA NACION, SOBRE ACTUALIZACION DEL REGIMEN PENAL APLICABLE A LOS DELITOS DE DEFRAUDACION MEDIANTE MEDIOS ELECTRONICOS, DIGITALES E INFORMATICOS.
</t>
  </si>
  <si>
    <t xml:space="preserve"> 08/10/2025 -</t>
  </si>
  <si>
    <t xml:space="preserve"> FERNÁNDEZ SAGASTI, ANABEL - DURÉ, MARÍA EUGENIA -</t>
  </si>
  <si>
    <t>DURE: COMUNICA FE DE ERRATAS EN EL PROYECTO DE DECLARACION QUE DECLARA DE INTERES LA CONMEMORACION DEL ANIVERSARIO DE LA SANCION DE LA LEY 24.012, DE CUPO FEMENINO, EL 6 DE OCTUBRE DE 2025 (REF. S. 1755/25).</t>
  </si>
  <si>
    <t xml:space="preserve"> DURÉ, MARÍA EUGENIA -</t>
  </si>
  <si>
    <t>BENSUSAN: PROYECTO DE LEY QUE CREA UNA COMISION BICAMERAL INVESTIGADORA DE PRESUNTAS IRREGULARIDADES EN LAS OPERACIONES Y LA DDJJ DE VENTA AL EXTERIOR (DJVE) DE PRODUCTOS AGROPECUARIOS EN EL MARCO DE LA BAJA TEMPORAL DE LOS DERECHOS DE EXPORTACION DISPUESTA POR EL PEN MEDIANTE DCTO. 682/2025.</t>
  </si>
  <si>
    <t xml:space="preserve"> 88 18/03/2026 -</t>
  </si>
  <si>
    <t xml:space="preserve"> BENSUSÁN, DANIEL PABLO -</t>
  </si>
  <si>
    <t xml:space="preserve">AVILA: PROYECTO DE LEY QUE ESTABLECE UN PORCENTAJE PARA LA ASIGNACION DE PUESTOS LABORALES VACANTES Y OFRECIDOS EN SUS BUSQUEDAS, POR PARTE DEL ESTADO NACIONAL.
</t>
  </si>
  <si>
    <t xml:space="preserve"> 07/10/2025 -</t>
  </si>
  <si>
    <t>09/10/2025</t>
  </si>
  <si>
    <t xml:space="preserve">AVILA: PROYECTO DE LEY QUE ESTABLECE UN SISTEMA DE REINTEGROS PARA PRODUCTORES A FIN DE REDUCIR EL COSTO DE FLETE POR TRANSPORTE DE MATERIAS PRIMAS Y PRODUCTOS AGROPECUARIOS CON ORIGEN DEL N.O.A.
</t>
  </si>
  <si>
    <t xml:space="preserve"> RECALDE: PROYECTO DE RESOLUCION QUE RECHAZA EL DECRETO
N° 207/2025 (SUSTITUCION DEL ART. 2 DE LA LEY N° 20.115) ARGENTORES.
</t>
  </si>
  <si>
    <t xml:space="preserve"> RECALDE, MARIANO -</t>
  </si>
  <si>
    <t xml:space="preserve">RECALDE: PROYECTO DE LEY QUE DEROGA LOS DECRETOS N° 117/2024, 548/2024, 765/2024, 138/2025, 143/2025, 150/2025 Y 208/2025. </t>
  </si>
  <si>
    <t xml:space="preserve"> 87 18/03/2026 -</t>
  </si>
  <si>
    <t>LOSADA: PROYECTO DE LEY QUE MODIFICA EL TITULO XIV DEL SEGUNDO LIBRO DEL CODIGO PENAL DE LA NACION, SOBRE DELITOS CONTRA LOS ANIMALES.</t>
  </si>
  <si>
    <t xml:space="preserve"> 03/10/2025 -</t>
  </si>
  <si>
    <t>07/10/2025</t>
  </si>
  <si>
    <t>ARRASCAETA Y OTROS: PROYECTO DE LEY QUE MODIFICA SU SIMILAR 27.447- LEY DE TRASPLANTE DE ORGANOS, TEJIDOS Y CELULAS.</t>
  </si>
  <si>
    <t xml:space="preserve"> 02/10/2025 -</t>
  </si>
  <si>
    <t xml:space="preserve"> ARRASCAETA, IVANNA MARCELA - PAGOTTO, JUAN CARLOS - ATAUCHE, EZEQUIEL - PAOLTRONI, FRANCISCO MANUEL - OLIVERA LUCERO, BRUNO ANTONIO - ABDALA, BARTOLOMÉ ESTEBAN -</t>
  </si>
  <si>
    <t>AVILA: PROYECTO DE LEY QUE CREA LA FISCALIA GENERAL ELECTORAL.</t>
  </si>
  <si>
    <t>DURE Y OTROS: PROYECTO DE LEY QUE DECLARA INCONSTITUCIONAL, NULO DE NULIDAD ABSOLUTA, EL DNU N°697/2025, QUE AUTORIZA EL INGRESO DE TROPAS DE LAS FUERZAS ARMADAS DE EE.UU., EN LAS BASES NAVALES DE MAR DEL PLATA, USHUAIA Y PUERTO BELGRANO.</t>
  </si>
  <si>
    <t xml:space="preserve"> GIMÉNEZ NAVARRO, MARÍA CELESTE - KIRCHNER, ALICIA MARGARITA ANTONIA - GARCÍA LARRABURU, SILVINA MARCELA - DURÉ, MARÍA EUGENIA - LÓPEZ, MARÍA FLORENCIA - PILATTI VERGARA, MARÍA INÉS - SAPAG, SILVIA ESTELA  - LEDESMA ABDALA DE ZAMORA, CLAUDIA - NEDER, JOSÉ EMILIO - MONTENEGRO, GERARDO ANTENOR - UÑAC, SERGIO MAURICIO - DE PEDRO, EDUARDO ENRIQUE - BENSUSÁN, DANIEL PABLO - SALINO, FERNANDO ALDO - ANDRADA, GUILLERMO EDUARDO - MENDOZA, SANDRA MARIELA - LINARES, CARLOS ALBERTO - MOISES, MARÍA CAROLINA -</t>
  </si>
  <si>
    <t xml:space="preserve">ALVAREZ RIVERO: PLANTEA CUESTION DE PRIVILEGIO  </t>
  </si>
  <si>
    <t xml:space="preserve">  02/10/2025 -</t>
  </si>
  <si>
    <t>03/10/2025</t>
  </si>
  <si>
    <t xml:space="preserve">MAYANS: PLANTEA CUESTION DE PRIVILEGIO  </t>
  </si>
  <si>
    <t xml:space="preserve">CORA: PLANTEA CUESTION DE PRIVILEGIO  
</t>
  </si>
  <si>
    <t xml:space="preserve"> CORA, STEFANIA -</t>
  </si>
  <si>
    <t xml:space="preserve">ABAD: PLANTEA CUESTION DE PRIVILEGIO  </t>
  </si>
  <si>
    <t xml:space="preserve">RECALDE: PLANTEA CUESTION DE PRIVILEGIO  
</t>
  </si>
  <si>
    <t xml:space="preserve">PAOLTRONI: PLANTEA CUESTION DE PRIVILEGIO  </t>
  </si>
  <si>
    <t xml:space="preserve"> PAOLTRONI, FRANCISCO MANUEL -</t>
  </si>
  <si>
    <t xml:space="preserve">BLANCO: PLANTEA CUESTION DE PRIVILEGIO  </t>
  </si>
  <si>
    <t xml:space="preserve"> BLANCO, PABLO DANIEL -</t>
  </si>
  <si>
    <t xml:space="preserve">DURE: PLANTEA CUESTION DE PRIVILEGIO  
</t>
  </si>
  <si>
    <t xml:space="preserve">BENSUSAN: PLANTEA CUESTION DE PRIVILEGIO  </t>
  </si>
  <si>
    <t>MOISES Y OTROS: PROYECTO DE LEY QUE DEROGA DIVERSOS DECRETOS N° 117; 548; 765/24, 138; 143; 150 Y 208/25, MODIFICATORIOS DE LAS ESTRUCTURAS ORGANIZATIVAS DE LA ADMINISTRACIÓN PÚBLICA NACIONAL COMO DE LAS NORMAS DE FONDOS.</t>
  </si>
  <si>
    <t xml:space="preserve"> 87  -</t>
  </si>
  <si>
    <t xml:space="preserve"> 01/10/2025 -</t>
  </si>
  <si>
    <t xml:space="preserve"> MOISES, MARÍA CAROLINA - SALINO, FERNANDO ALDO - REJAL, JESÚS FERNANDO - ANDRADA, GUILLERMO EDUARDO -</t>
  </si>
  <si>
    <t>REJAL Y OTROS: PROYECTO DE RESOLUCION QUE RECHAZA EN LOS TERMINOS DE LA LEY 26.122, EL DECRETO DE FACULTADES DELEGADAS N° 207/25 QUE SUSTITUYE EL ARTICULO 2º DE LA LEY Nº 20.115 - FISCALIZACION PERMANENTE SOBRE LA SOCIEDAD GENERAL DE AUTORES DE LA ARGENTINA (ARGENTORES)</t>
  </si>
  <si>
    <t>AVILA: PROYECTO DE LEY QUE ESTABLECE LA OBLIGATORIEDAD DE EFECTUAR CONTROLES PSICOFISICOS A CONDUCTORES DE VEHICULOS DE PASAJEROS DE LARGA DISTANCIA.</t>
  </si>
  <si>
    <t>AVILA: PROYECTO DE LEY QUE MODIFICA EL ART. 178 DE SU SIMILAR 20.744 - DE CONTRATO DE TRABAJO-, QUE AMPLIA EL PLAZO DE DESPIDO POR EMBARAZO O MATERNIDAD.-</t>
  </si>
  <si>
    <t>AVILA: PROYECTO DE LEY QUE MODIFICIA EL ART. 24 DE SU SIMILAR 24.004 - EJERCICIO DE LA ENFERMERIA-, RESPECTO DE LAS TAREAS CONSIDERADAS INSALUBRES.</t>
  </si>
  <si>
    <t xml:space="preserve"> 86  -</t>
  </si>
  <si>
    <t>AVILA: PROYECTO DE LEY SOBRE CAMPAÑA NACIONAL DE CONCIENTIZACION SOBRE DONACION DE ORGANOS, TEJIDOS Y CELULAS.</t>
  </si>
  <si>
    <t>AVILA: PROYECTO DE LEY QUE INCORPORA EL ART. 157 TER AL CODIGO PENAL DE LA NACION, RESPECTO DE TIPIFICAR LA OBTENCION ILEGITIMA DE DATOS PERSONALES, FINANCIEROS O CONFIDENCIALES.</t>
  </si>
  <si>
    <t>AVILA: PROYECTO DE LEY QUE ESTABLECE LA SUSPENSIÓN DEL COMPUTO DE LA PRESCRIPCION DE LA ACCION PENAL EN HOMICIDIOS.</t>
  </si>
  <si>
    <t>HUALA Y DE ANGELI: PROYECTO DE LEY SOBRE REGIMEN DE PROMOCION DE LA IA ARGENTINA.</t>
  </si>
  <si>
    <t xml:space="preserve"> HUALA, MARÍA VICTORIA - DE ANGELI, ALFREDO LUIS -</t>
  </si>
  <si>
    <t>LOUSTEAU: PROYECTO DE LEY QUE MODIFICA SUS SIMILARES 24.937(CONSEJO DE LA MAGISTRATURA), 27.148 (ORGÁNICA DEL MINISTERIO PÚBLICO FISCAL DE LA NACIÓN) Y 27.149 (ORGÁNICA DEL MINISTERIO PÚBLICO DE LA DEFENSA DE LA NACIÓN). ESTABLECIENDO PLAZOS PERENTORIOS PARA TERNAS DE JUECES, FISCALES Y DEFENSORES POR PARTE DEL PODER EJECUTIVO.</t>
  </si>
  <si>
    <t xml:space="preserve"> LOUSTEAU, MARTÍN -</t>
  </si>
  <si>
    <t>LINARES: PROYECTO DE LEY  DE RESERVA NAVAL DE LA MARINA MERCANTE ARGENTINA.</t>
  </si>
  <si>
    <t>REJAL Y OTROS: PROYECTO DE RESOLUCION QUE RECHAZA EL DECRETO DE FACULTADES DELEGADAS N° 408/25, QUE DISUELVE DIVERSOS REGIMENES DE PROMOCION DE ACTIVIDADES PRODUCTIVAS.</t>
  </si>
  <si>
    <t xml:space="preserve"> 85  -</t>
  </si>
  <si>
    <t>2025-10-02 00:00:00</t>
  </si>
  <si>
    <t xml:space="preserve"> REJAL, JESÚS FERNANDO - SALINO, FERNANDO ALDO - MOISES, MARÍA CAROLINA - ANDRADA, GUILLERMO EDUARDO - GIMÉNEZ, NORA DEL VALLE -</t>
  </si>
  <si>
    <t>CORA Y OTROS: PROYECTO DE LEY QUE DEROGA EL DECRETO DE NECESIDAD Y URGENCIA N° 692/25, POR EL CUAL DEROGA EL DECRETO N° 515/14 QUE DECLARÓ AL C.P. SR. NORBERTO FÉLIX GALASSO "EMBAJADOR DE LA CULTURA POPULAR ARGENTINA".</t>
  </si>
  <si>
    <t xml:space="preserve"> 30/09/2025 -</t>
  </si>
  <si>
    <t xml:space="preserve"> GONZÁLEZ, MARÍA TERESA MARGARITA - LEWANDOWSKI, MARCELO NÉSTOR - RECALDE, MARIANO - CORA, STEFANIA - LEAVY, SERGIO NAPOLEÓN - DE PEDRO, EDUARDO ENRIQUE - FERNÁNDEZ SAGASTI, ANABEL - LÓPEZ, MARÍA FLORENCIA - DURÉ, MARÍA EUGENIA - KIRCHNER, ALICIA MARGARITA ANTONIA - LINARES, CARLOS ALBERTO - GARCÍA LARRABURU, SILVINA MARCELA - ANDRADA, GUILLERMO EDUARDO - REJAL, JESÚS FERNANDO - MENDOZA, SANDRA MARIELA -</t>
  </si>
  <si>
    <t xml:space="preserve">DOÑATE: REPRODUCE PROYECTO DE LEY DE REGIMEN PARA LA INVESTIGACION, DESARROLLO Y PRODUCCION DE ENERGIA RENOVABLE Y PARA LA EFICIENCIA ENERGETICA. (REF. S. 912/23).
</t>
  </si>
  <si>
    <t xml:space="preserve"> DOÑATE, CLAUDIO MARTÍN -</t>
  </si>
  <si>
    <t>DOÑATE: REPRODUCE PROYECTO DE LEY QUE CREA LA COMISIÓN BICAMERAL ESPECIAL PARA LA REDACCIÓN DE PROPUESTAS LEGISLATIVAS QUE TIENDAN A LA PROTECCIÓN INTEGRAL DE LOS NEURODERECHOS. (REF. S. 2446/23)</t>
  </si>
  <si>
    <t>DOÑATE: PROYECTO DE LEY QUE MODIFICA SU SIMILAR 25.188 (ETICA DE LA FUNCION PUBLICA) Y 22.520 (DE MINISTERIOS)- QUE ESTABLECE NUEVAS INCOMPATIBILIDADES Y LIMITACIONES PARA LA OCUPACION DE CARGOS PUBLICOS</t>
  </si>
  <si>
    <t xml:space="preserve">REJAL Y MOISES: PROYECTO DE LEY QUE SUSTITUYE EL INC. M) DEL ART. 5° DE SU SIMILAR 17.622 - INSTITUTO NACIONAL DE ESTADISTICAS Y CENSOS - RESPECTO A LA ELABORACION DE ESTADISTICAS DE LA CANASTA BASICA ALIMENTARIA Y DE LA CANASTA BASICA TOTAL, CONFORME A ESTANDARES INTERNACIONALES. </t>
  </si>
  <si>
    <t xml:space="preserve"> REJAL, JESÚS FERNANDO - MOISES, MARÍA CAROLINA -</t>
  </si>
  <si>
    <t>FERNANDEZ SAGASTI: PROYECTO DE LEY QUE CREA LA FEDERACION ARGENTINA DE CIRCULOS DE LEGISLADORES PROVINCIALES.</t>
  </si>
  <si>
    <t xml:space="preserve">TAGLIAFERRI Y OTROS: SOLICITAN A LA COMISION DE JUSTICIA Y ASUNTOS PENALES, SE INCORPONE AL TEMARIO DE LA REUNION DEL DIA 30 DE SEPTIEMBRE DEL CORRIENTE, EL PROYECTO DE COMUNICACIÓN REGISTRADO BAJO EL N° S-1440/25.
</t>
  </si>
  <si>
    <t xml:space="preserve"> 29/09/2025 -</t>
  </si>
  <si>
    <t xml:space="preserve"> TAGLIAFERRI, GUADALUPE - LOUSTEAU, MARTÍN - ARCE, CARLOS OMAR - ABAD, MAXIMILIANO - JURI, MARIANA - BLANCO, PABLO DANIEL - AVILA, BEATRIZ LUISA - ESPÍNOLA, CARLOS MAURICIO -</t>
  </si>
  <si>
    <t>29/09/2025</t>
  </si>
  <si>
    <t>MAYANS Y OTROS: PROYECTO DE LEY QUE DECLARA DE INTERES PUBLICO Y ESTRATEGICO NO ENAJENABLE EL DESARROLLO NUCLEAR ARGENTINO VINCULADO CON EL USO PACIFICO DE LA ENERGIA NUCLEAR Y LAS RADIACIONES IONIZANTES, CONFORMES CON LOS TRATADOS INTERNACIONALES SUSCRIPTOS POR LA REP. ARGENTINA.</t>
  </si>
  <si>
    <t xml:space="preserve"> 85 02/10/2025 -</t>
  </si>
  <si>
    <t xml:space="preserve"> MAYANS, JOSÉ MIGUEL ÁNGEL - FERNÁNDEZ SAGASTI, ANABEL - DI TULLIO, JULIANA - SALINO, FERNANDO ALDO - DE PEDRO, EDUARDO ENRIQUE - DURÉ, MARÍA EUGENIA - PILATTI VERGARA, MARÍA INÉS - NEDER, JOSÉ EMILIO - UÑAC, SERGIO MAURICIO - CORPACCI, LUCÍA BENIGNA - SAPAG, SILVIA ESTELA  - BENSUSÁN, DANIEL PABLO - LEDESMA ABDALA DE ZAMORA, CLAUDIA - KIRCHNER, ALICIA MARGARITA ANTONIA - MENDOZA, SANDRA MARIELA - MANZUR, JUAN LUIS - LEWANDOWSKI, MARCELO NÉSTOR - ANDRADA, GUILLERMO EDUARDO - REJAL, JESÚS FERNANDO - MOISES, MARÍA CAROLINA - CORA, STEFANIA - LEAVY, SERGIO NAPOLEÓN - LÓPEZ, CÁNDIDA CRISTINA - GIMÉNEZ, NORA DEL VALLE - LINARES, CARLOS ALBERTO - GIMÉNEZ NAVARRO, MARÍA CELESTE - GONZÁLEZ, MARÍA TERESA MARGARITA -</t>
  </si>
  <si>
    <t>01/10/2025</t>
  </si>
  <si>
    <t>PILATTI VERGARA: PROYECTO DE LEY QUE DEROGA EL DECRETO 273/2025, QUE HABILITA LA IMPORTACION DE BIENES USADOS SIN NINGUNA RESTRICCION.</t>
  </si>
  <si>
    <t xml:space="preserve"> 26/09/2025 -</t>
  </si>
  <si>
    <t xml:space="preserve"> PILATTI VERGARA, MARÍA INÉS -</t>
  </si>
  <si>
    <t>AVILA: COMUNICA FE DE ERRATAS EN EL PROYECTO DE LEY QUE MODIFICA SU SIMILAR 14.346 - PROTECCION ANIMAL - RESPECTO DE AGRAVAR LAS PENAS. (REF. S. 1079/24).</t>
  </si>
  <si>
    <t xml:space="preserve"> 25/09/2025 -</t>
  </si>
  <si>
    <t>BLANCO: PROYECTO DE RESOLUCION QUE CITA AL SR. CANCILLER GERARDO WERTHEIN, CONFORME AL ART. 71 DE LA C.N. Y EL ART. 214 DEL REGLAMENTO DE LA H. CAMARA, A FIN DE BRINDAR EXPLICACIONES SOBRE EL POSICIONAMIENTO EN MATERIA DE POLITICA EXTERIOR CON RESPECTO A LOS EE.UU.</t>
  </si>
  <si>
    <t xml:space="preserve"> 84 02/10/2025 -</t>
  </si>
  <si>
    <t xml:space="preserve">ROMERO: PROYECTO DE LEY QUE TRANSFIERE A TITULO GRATUITO A LA LIGA DE FUTBOL DE ROSARIO DE LA FRONTERA, EL INMUEBLE DE PROPIEDAD DEL ESTADO NACIONAL, UBICADO EN MANZANA N° 37, PARCELA N° 2, MATRICULA 6018, SECCION D, PLANO 727 DEL DEPTO. DE ROSARIO DE LA FRONTERA, PROV. DE SALTA. </t>
  </si>
  <si>
    <t xml:space="preserve">ROMERO: PROYECTO DE LEY QUE TRANFIERE A TITULO GRATUITO AL MUNIC. DE ROSARIO DE LA FRONTERA, DPTO. ROSARIO DE LA FRONTERA, PROV. DE SALTA, EL INMUEBLE DE PROPIEDAD DEL ESTADO NACIONAL CORRESPONDIENTE AL EDIFICIO DE LA ESTACION "LOS BAÑOS" EN EL RAMAL C8 DEL FERROCARRIL GENERAL BELGRANO EN EL PLANO DE SUBDIVISION N° 197. </t>
  </si>
  <si>
    <t>AVILA: PROYECTO DE LEY QUE INSTITUYE EL 24 DE SEPTIEMBRE DE CADA AÑO, COMO "DIA NACIONAL DE LA BATALLA DE TUCUMAN".</t>
  </si>
  <si>
    <t xml:space="preserve"> 24/09/2025 -</t>
  </si>
  <si>
    <t>AVILA: PROYECTO DE LEY QUE DISPONE LA CONSTRUCCION DE UN MONUMENTO A LA BATALLA DE TUCUMAN, EN LA CDAD. DE SAN MIGUEL DE TUCUMAN.</t>
  </si>
  <si>
    <t>AVILA: PROYECTO DE LEY QUE MODIFICA EL ART. 1° DE SU SIMILAR 27.399, INCORPORANDO COMO FERIADO NACIONAL EL 24 DE SEPTIEMBRE DE CADA AÑO, EN CONMEMORACIÓN A LA BATALLA DE TUCUMAN.</t>
  </si>
  <si>
    <t>TERENZI: PROYECTO DE LEY QUE DECLARA MONUMENTO NATURAL NACIONAL EN EL MARCO DEL ART. 8° DE LA LEY 22.351, A LA ESPECIE ARBOREA FITZROYA CUPRESSOIDES, CONOCIDA COMO ALERCE.</t>
  </si>
  <si>
    <t xml:space="preserve"> TERENZI, EDITH ELIZABETH -</t>
  </si>
  <si>
    <t>BLANCO: PROYECTO DE RESOLUCION QUE CITA AL SEÑOR JEFE DE GABINETE DE MINISTROS, GUILLERMO FRANCOS, PARA SER INTERPELADO CONFORME A LO ESTABLECIDO EN EL ART. 101 DE LA C.N., RESPECTO DE LA APLICACIÓN DE LA LEY 27.793.</t>
  </si>
  <si>
    <t xml:space="preserve">LINARES Y OTROS: PROYECTO DE RESOLUCION QUE DISPONE LA PROVISION DE INDUMENTARIA Y CALZADO PARA EL PERSONAL DE LAS INTENDENCIAS DEL H.S.N.  </t>
  </si>
  <si>
    <t xml:space="preserve"> LINARES, CARLOS ALBERTO - CORA, STEFANIA - LEAVY, SERGIO NAPOLEÓN - DURÉ, MARÍA EUGENIA - GARCÍA LARRABURU, SILVINA MARCELA - SALINO, FERNANDO ALDO - PILATTI VERGARA, MARÍA INÉS - PARRILLI, OSCAR ISIDRO - BENSUSÁN, DANIEL PABLO - RODAS, ANTONIO JOSÉ - MONTENEGRO, GERARDO ANTENOR - ARCE, CARLOS OMAR - DE PEDRO, EDUARDO ENRIQUE - JUEZ, LUIS ALFREDO - UÑAC, SERGIO MAURICIO - LEWANDOWSKI, MARCELO NÉSTOR - REJAL, JESÚS FERNANDO - CORPACCI, LUCÍA BENIGNA - ZIMMERMANN, VICTOR - NEDER, JOSÉ EMILIO - ANDRADA, GUILLERMO EDUARDO - FAMA, FLAVIO SERGIO - GIMÉNEZ NAVARRO, MARÍA CELESTE - KRONEBERGER, DANIEL RICARDO - LÓPEZ, CÁNDIDA CRISTINA - TERENZI, EDITH ELIZABETH - GONZÁLEZ, MARÍA TERESA MARGARITA - DOÑATE, CLAUDIO MARTÍN - BLANCO, PABLO DANIEL - ROJAS DECUT, SONIA ELIZABETH - KIRCHNER, ALICIA MARGARITA ANTONIA - OLALLA, STELLA MARIS - VALENZUELA, MERCEDES GABRIELA - DI TULLIO, JULIANA -</t>
  </si>
  <si>
    <t xml:space="preserve">LOPEZ C. Y OTROS: PROYECTO DE RESOLUCION QUE CITA AL MINISTRO DE DEFENSA DE LA NACION, EDGARDO PETRI Y AL CANCILLER DE LA NACION, GERARDO WERTHEIN, PARA SU INTERPELACION CON LO ESTABLECIDO EN EL ART. 71 DE LA C.N. Y EL ART. 214 DEL REGLAMENTO DEL HSN. </t>
  </si>
  <si>
    <t xml:space="preserve"> 83 02/10/2025 -</t>
  </si>
  <si>
    <t xml:space="preserve"> 23/09/2025 -</t>
  </si>
  <si>
    <t xml:space="preserve"> GONZÁLEZ, MARÍA TERESA MARGARITA - LÓPEZ, CÁNDIDA CRISTINA - REJAL, JESÚS FERNANDO - MOISES, MARÍA CAROLINA - GARCÍA LARRABURU, SILVINA MARCELA -</t>
  </si>
  <si>
    <t>VISCHI: REPRODUCE PROYECTO DE LEY QUE CREA LA COMISION BICAMERAL PERMANENTE DE ORGANIZACIÓN Y DESARROLLO ESTRATEGICO TERRITORIAL (REF. S. 1403/23).</t>
  </si>
  <si>
    <t xml:space="preserve"> VISCHI, EDUARDO ALEJANDRO -</t>
  </si>
  <si>
    <t>ABAD: PROYECTO DE LEY QUE SOLICITA INCLUIR EN EL ARTICULO 1 DE LA LEY 27.399 COMO FERIADO NACIONAL TRASLADABLE EL 21 DE ABRIL EN CONMEMORACION DEL PASO A LA INMORTALIDAD DEL PAPA FRANCISCO.</t>
  </si>
  <si>
    <t>MAYANS Y OTROS: PROYECTO DE RESOLUCION QUE CITA AL JEFE DE GABINETE DE MINISTROS DE LA NACION, LIC. GUILLERMO FRANCOS PARA SER INTERPELADO CONFORME AL ART. 101 DE LA C.N., RESPECTO DE LA APLICACIÓN DE LA LEY 27.793.</t>
  </si>
  <si>
    <t xml:space="preserve"> DI TULLIO, JULIANA - SALINO, FERNANDO ALDO - MAYANS, JOSÉ MIGUEL ÁNGEL - FERNÁNDEZ SAGASTI, ANABEL - PILATTI VERGARA, MARÍA INÉS - LEWANDOWSKI, MARCELO NÉSTOR -</t>
  </si>
  <si>
    <t>VISCHI: REPRODUCE PROYECTO DE LEY QUE INSTITUYE EL 9 DE OCTUBRE DE CADA AÑO COMO "DIA NACIONAL DE LA CONCIENTIZACION DE LA ENFERMEDAD CARDIOVASCULAR EN LA MUJER" Y PROMUEVE UNA CAMPAÑA DE CONCIENTIZACION SOBRE ESTA PROBLEMÁTICA.  (REF.S. 995/23)</t>
  </si>
  <si>
    <t xml:space="preserve"> 22/09/2025 -</t>
  </si>
  <si>
    <t>VISCHI: REPRODUCE PROYECTO DE LEY QUE DECLARA BIEN HISTORICO NACIONAL, EN LOS TERMINOS DE LA LEY 12.665 Y S/M., AL INMUEBLE IDENTIFICADO COMO EX "HOTEL DE INMIGRANTES- EX OFICINAS DE PUENTES Y CAMINOS DE GOYA", SITO EN LA MANZANA N° 497, ENTRE LAS CALLES CAÁ GUAZU Y AV. SARMIENTO DE LA CIUDAD DE GOYA, PROV. DE CORRIENTES. (REF. S.1422/22)</t>
  </si>
  <si>
    <t>PILATTI VERGARA: PROYECTO DE RESOLUCION QUE CITA AL JEFE DE GABINETE DE MINISTROS DE LA NACION, GUILLERMO FRANCOS PARA SER INTERPELADO CONFORME EL ART. 101 DE LA C.N., RESPECTO DE LA APLICACIÓN DE LA LEY 27.793</t>
  </si>
  <si>
    <t>GARCIA LARRABURU Y OTROS: PROYECTO DE LEY QUE DECLARA AL SISTEMA NUCLEAR ARGENTINO COMO BIEN ESTRATÉGICO.</t>
  </si>
  <si>
    <t xml:space="preserve"> 82 02/10/2025 -</t>
  </si>
  <si>
    <t xml:space="preserve"> 18/09/2025 -</t>
  </si>
  <si>
    <t>2025-09-18 00:00:00</t>
  </si>
  <si>
    <t xml:space="preserve"> GARCÍA LARRABURU, SILVINA MARCELA - GIMÉNEZ NAVARRO, MARÍA CELESTE - SAPAG, SILVIA ESTELA  - LÓPEZ, MARÍA FLORENCIA - GIMÉNEZ, NORA DEL VALLE - RODAS, ANTONIO JOSÉ - NEDER, JOSÉ EMILIO - LEDESMA ABDALA DE ZAMORA, CLAUDIA - LÓPEZ, CÁNDIDA CRISTINA - LINARES, CARLOS ALBERTO - MONTENEGRO, GERARDO ANTENOR - DOÑATE, CLAUDIO MARTÍN - PARRILLI, OSCAR ISIDRO - DURÉ, MARÍA EUGENIA - KIRCHNER, ALICIA MARGARITA ANTONIA - DE PEDRO, EDUARDO ENRIQUE - PILATTI VERGARA, MARÍA INÉS - CORPACCI, LUCÍA BENIGNA - RECALDE, MARIANO - MOISES, MARÍA CAROLINA - GONZÁLEZ, MARÍA TERESA MARGARITA -</t>
  </si>
  <si>
    <t>08/10/2025</t>
  </si>
  <si>
    <t xml:space="preserve">AVILA: PROYECTO DE LEY DE PREVENCION DEL SUICIDIO POR ACOSO ESCOLAR.
</t>
  </si>
  <si>
    <t xml:space="preserve"> AVILA: PROYECTO DE LEY QUE CREA EL SISTEMA UNICO DE ATENCION PROGRAMADA POR TURNOS.</t>
  </si>
  <si>
    <t>AVILA: PROYECTO DE LEY QUE MODIFICA SU SIMILAR 18.345 - DE ORGANIZACIÓN Y PROCEDIMIENTO DE LA JUSTICIA NACIONAL DEL TRABAJO - RESPECTO DEL PROCEDIMIENTO DE EMBARGO PREVENTIVO.</t>
  </si>
  <si>
    <t>OLIVERA LUCERO: PROYECTO DE LEY DE PROMOCION DE HABITOS DE ALIMENTACION SALUDABLE EN NIÑOS Y ADOLESCENTES.</t>
  </si>
  <si>
    <t>OLIVERA LUCERO: PROYECTO DE LEY QUE MODIFICA SU SIMILAR 14.346 - DE PROTECCION ANIMAL. MALTRATO Y ACTOS DE CRUELDAD ANIMAL -, RESPECTO DE AGRAVAMIENTO DE PENAS.</t>
  </si>
  <si>
    <t xml:space="preserve">DE PEDRO: PLANTEA CUESTION DE PRIVILEGIO  </t>
  </si>
  <si>
    <t xml:space="preserve">  18/09/2025 -</t>
  </si>
  <si>
    <t xml:space="preserve"> 19/09/2025 -</t>
  </si>
  <si>
    <t xml:space="preserve"> DE PEDRO, EDUARDO ENRIQUE -</t>
  </si>
  <si>
    <t>19/09/2025</t>
  </si>
  <si>
    <t xml:space="preserve">ABAD: PLANTEA CUESTION DE PRIVILEGIO. </t>
  </si>
  <si>
    <t>LOPEZ M.F.: PLANTEA CUESTION DE PRIVILEGIO.</t>
  </si>
  <si>
    <t>CORA Y OTROS: PROYECTO DE LEY QUE ESTABLECE LA JORNADA "PARTICIPAR" EN TODAS LAS INSTITUCIONES EDUCATIVAS DE NIVEL SECUNDARIO DEL PAIS, DESTINADA A FORTALECER LA FORMACION CIUDADANA DE LOS ESTUDIANTES.</t>
  </si>
  <si>
    <t xml:space="preserve"> 81  -</t>
  </si>
  <si>
    <t xml:space="preserve"> 16/09/2025 -</t>
  </si>
  <si>
    <t xml:space="preserve"> CORA, STEFANIA - LINARES, CARLOS ALBERTO - MOISES, MARÍA CAROLINA - GONZÁLEZ, MARÍA TERESA MARGARITA - MONTENEGRO, GERARDO ANTENOR - KIRCHNER, ALICIA MARGARITA ANTONIA - DURÉ, MARÍA EUGENIA - GARCÍA LARRABURU, SILVINA MARCELA -</t>
  </si>
  <si>
    <t>GADANO: PROYECTO DE LEY QUE DECLARA CIUDAD ORIGEN DE LA PATAGONIA A LA LOC. DE PUERTO SAN JULIAN, DEL DEPTO. MAGALLANES DE LA PROV. DE SANTA CRUZ, Y OTRAS CUESTIONES CONEXAS.</t>
  </si>
  <si>
    <t xml:space="preserve"> 15/09/2025 -</t>
  </si>
  <si>
    <t>LOPEZ M.F.: PROYECTO DE LEY QUE DECLARA MONUMENTO HISTORICO NACIONAL AL MONUMENTO AL CAMINITO Y AL PREDIO DENOMINADO "CAMINITO", UBICADO EN LA CDAD. DE OLTA, DPTO. GRAL. BELGRANO, PROV. DE LA RIOJA.</t>
  </si>
  <si>
    <t>LOPEZ M.F.: PROYECTO DE LEY QUE DECLARA A LA PROVINCIA DE LA RIOJA COMO CAPITAL NACIONAL DE LA CHAYA.</t>
  </si>
  <si>
    <t xml:space="preserve">CARAMBIA Y GADANO: PROYECTO DE LEY QUE CREA LA ASIGNATURA OBLIGATORIA "EDUCACION FINANCIERA", COMO PARTE INTEGRANTE DE LA CURRICULA EDUCATIVA DEL NIVEL SECUNDARIO, CONTEMPLADA EN LA LEY 26.206, EN TODAS SUS MODALIDADES Y ORIENTACIONES, DE GESTION PUBLICA COMO PRIVADA.
</t>
  </si>
  <si>
    <t xml:space="preserve"> 80 18/09/2025 -</t>
  </si>
  <si>
    <t xml:space="preserve"> 12/09/2025 -</t>
  </si>
  <si>
    <t>16/09/2025</t>
  </si>
  <si>
    <t>ABAD Y LOSADA: PROYECTO DE LEY DE EXTINCION DE DOMINIO.</t>
  </si>
  <si>
    <t xml:space="preserve"> 11/09/2025 -</t>
  </si>
  <si>
    <t xml:space="preserve"> ABAD, MAXIMILIANO - LOSADA, CAROLINA -</t>
  </si>
  <si>
    <t xml:space="preserve">BICAMERAL PERMANENTE DE SEGUIMIENTO Y CONTROL DEL MINISTERIO PÚBLICO DE LA NACIÓN (LEY 24.946 Y SUS MODIFICATORIAS LEY 27.148 Y 27.149) </t>
  </si>
  <si>
    <t>17/09/2025</t>
  </si>
  <si>
    <t>ANDRADA: PROYECTO DE LEY QUE ESTABLECE LA ACTUALIZACION DE LA ENCUESTA NACIONAL DE GASTOS DE LOS HOGARES.</t>
  </si>
  <si>
    <t xml:space="preserve"> 10/09/2025 -</t>
  </si>
  <si>
    <t xml:space="preserve"> ANDRADA, GUILLERMO EDUARDO -</t>
  </si>
  <si>
    <t xml:space="preserve">CORA Y OTROS: PROYECTO DE LEY QUE ESTABLECE UN MARCO REGULATORIO INTEGRAL PARA EL PROGRAMA DE BECAS DEL CONICET CON EL OBJETIVO DE RECONOCER A BECARIOS EN EL SISTEMA CIENTIFICO TECNOLOGICO ARGENTINO. </t>
  </si>
  <si>
    <t xml:space="preserve"> 79 18/09/2025 -</t>
  </si>
  <si>
    <t xml:space="preserve"> MOISES, MARÍA CAROLINA - MENDOZA, SANDRA MARIELA - GONZÁLEZ, MARÍA TERESA MARGARITA - CORA, STEFANIA - PILATTI VERGARA, MARÍA INÉS - GIMÉNEZ NAVARRO, MARÍA CELESTE - RECALDE, MARIANO - DURÉ, MARÍA EUGENIA - PARRILLI, OSCAR ISIDRO - FERNÁNDEZ SAGASTI, ANABEL - LÓPEZ, MARÍA FLORENCIA - LINARES, CARLOS ALBERTO - GARCÍA LARRABURU, SILVINA MARCELA -</t>
  </si>
  <si>
    <t>VISCHI Y OTROS: REPRODUCE PROYECTO DE LEY DE ERRADICACIÓN DE LA VIOLENCIA EN LA INFANCIA Y ADOLESCENCIA. (REF. S. 1455/23)</t>
  </si>
  <si>
    <t xml:space="preserve"> 09/09/2025 -</t>
  </si>
  <si>
    <t xml:space="preserve"> VISCHI, EDUARDO ALEJANDRO - TERENZI, EDITH ELIZABETH - KRONEBERGER, DANIEL RICARDO -</t>
  </si>
  <si>
    <t>RECALDE: PROYECTO DE LEY QUE ESTABLECE EL REGIMEN DE REINTEGRO DEL IVA A JUBILADOS Y PENSIONADOS.</t>
  </si>
  <si>
    <t>ROMERO: PROYECTO DE LEY QUE MODIFICA SU SIMILAR 26.190 - REGIMEN DE FOMENTO NACIONAL PARA EL USO DE FUENTES RENOVABLES DE ENERGIA DESTINADA A LA PRODUCCION DE ENERGIA ELECTRICA -, RESPECTO DE ESTABLECER UNA TERCERA ETAPA, PERIODO 2026-2035, CON LA META DE ELEVAR LA CONTRIBUCION DE LAS ENERGIA RENOVABLES.</t>
  </si>
  <si>
    <t xml:space="preserve"> 78 18/09/2025 -</t>
  </si>
  <si>
    <t xml:space="preserve"> 08/09/2025 -</t>
  </si>
  <si>
    <t>ANDRADA Y OTROS: PROYECTO DE LEY QUE MODIFICA SU SIMILAR 24.144 -CARTA ORGANICA DEL BANCO CENTRAL DE LA REP. ARGENTINA- SOBRE LA INTEGRACION Y DESIGNACION DE SU DIRECTORIO.</t>
  </si>
  <si>
    <t xml:space="preserve"> 04/09/2025 -</t>
  </si>
  <si>
    <t xml:space="preserve"> ANDRADA, GUILLERMO EDUARDO - REJAL, JESÚS FERNANDO - MOISES, MARÍA CAROLINA -</t>
  </si>
  <si>
    <t>OLIVERA LUCERO: PROYECTO DE LEY QUE MODIFICA EL ART. 14 DE SU SIMILAR 24.240 -DEFENSA DEL CONSUMIDOR-, RESPECTO DEL CERTIFICADO DE GARANTIA.</t>
  </si>
  <si>
    <t>PAOLTRONI: PLANTEA CUESTION DE PRIVILEGIO.</t>
  </si>
  <si>
    <t xml:space="preserve">  04/09/2025 -</t>
  </si>
  <si>
    <t>04/09/2025</t>
  </si>
  <si>
    <t>PILATTI VERGARA Y OTROS: PROYECTO DE RESOLUCION QUE CITA AL SR. MINISTRO DE RELACIONES EXTERIORES, COMERCIO INTERNACIONAL Y CULTO, VET. GERARDO WERTHEIN, CONFORME AL ART. 71 DE LA C.N. Y EL ART. 214 DEL REGLAMENTO DE LA H. CAMARA, A FIN DE DAR EXPLICACIONES SOBRE LA DECISION DE DECLINAR LA CANDIDATURA DE LA REP. ARGENTINA PARA INTEGRAR EL CONSEJO DE DERECHOS HUMANOS DE LA ONU.</t>
  </si>
  <si>
    <t xml:space="preserve"> PILATTI VERGARA, MARÍA INÉS - KIRCHNER, ALICIA MARGARITA ANTONIA - PARRILLI, OSCAR ISIDRO - GIMÉNEZ, NORA DEL VALLE - GARCÍA LARRABURU, SILVINA MARCELA - CORA, STEFANIA - RECALDE, MARIANO - REJAL, JESÚS FERNANDO -</t>
  </si>
  <si>
    <t>MAYANS: PLANTEA CUESTION DE PRIVILEGIO.</t>
  </si>
  <si>
    <t xml:space="preserve">LOUSTEAU.: PLANTEA CUESTION DE PRIVILEGIO.
</t>
  </si>
  <si>
    <t>LOPEZ M. F.: PLANTEA CUESTION DE PRIVILEGIO.</t>
  </si>
  <si>
    <t>MOISES: PLANTEA CUESTION DE PRIVILEGIO.</t>
  </si>
  <si>
    <t xml:space="preserve"> MOISES, MARÍA CAROLINA -</t>
  </si>
  <si>
    <t xml:space="preserve">HUALA Y OTROS: PROYECTO DE LEY SOBRE CAMPAÑAS NACIONALES DE CONCIENTIZACION, INFORMACION Y PROMOCION DEL USO ETICO DE LA INTELIGENCIA ARTIFICIAL Y NUEVAS TECNOLOGIAS EN COMUNIDADES EDUCATIVAS. </t>
  </si>
  <si>
    <t xml:space="preserve"> 77 18/09/2025 -</t>
  </si>
  <si>
    <t xml:space="preserve"> 03/09/2025 -</t>
  </si>
  <si>
    <t xml:space="preserve"> HUALA, MARÍA VICTORIA - DE ANGELI, ALFREDO LUIS - JUEZ, LUIS ALFREDO - CRISTINA, ANDREA MARCELA -</t>
  </si>
  <si>
    <t>UÑAC: PROYECTO DE LEY QUE DECLARA DE INTERES NACIONAL LA PREVENCION, EL TRATAMIENTO Y EL ESTUDIO DE LA SOLEDAD NO DESEADA DE LAS PERSONAS MAYORES.</t>
  </si>
  <si>
    <t>PARRILLI Y OTROS: PROYECTO DE LEY QUE DECLARA EL ACCESO LIBRE Y GRATUITO DE LA TRANSMISION DEL MUNDIAL DE FUTBOL 2026, A DESARROLLARSE EN LOS ESTADOS UNIDOS DE AMERICA, MEXICO Y CANADA, ENTRE EL 11 DE JUNIO Y EL 19 DE JULIO.</t>
  </si>
  <si>
    <t xml:space="preserve"> 02/09/2025 -</t>
  </si>
  <si>
    <t xml:space="preserve"> PARRILLI, OSCAR ISIDRO - MAYANS, JOSÉ MIGUEL ÁNGEL - SAPAG, SILVIA ESTELA  - LEAVY, SERGIO NAPOLEÓN - RECALDE, MARIANO - PILATTI VERGARA, MARÍA INÉS - REJAL, JESÚS FERNANDO - DE PEDRO, EDUARDO ENRIQUE - FERNÁNDEZ SAGASTI, ANABEL - GONZÁLEZ, MARÍA TERESA MARGARITA - GARCÍA LARRABURU, SILVINA MARCELA -</t>
  </si>
  <si>
    <t>BENSUSAN: PROYECTO DE LEY DE PROTECCION INTEGRAL PARA PREVENIR, SANCIONAR Y ERRADICAR LA VIOLENCIA CONTRA LAS PERSONAS MAYORES.</t>
  </si>
  <si>
    <t>BENSUSAN: PROYECTO DE LEY DE JUVENTUDES.</t>
  </si>
  <si>
    <t xml:space="preserve">ALVAREZ RIVERO: REPRODUCE PROYECTO DE LEY DE FORMACIÓN DUAL PARA LA INSERCIÓN LABORAL. (REF. S. 415/23)
</t>
  </si>
  <si>
    <t xml:space="preserve"> LOUSTEAU Y BLANCO: PROYECTO DE RESOLUCION QUE CREA LA COMISION ESPECIAL INVESTIGADORA PARA ANALIZAR LAS CONDUCTAS, ACTIVIDADES Y OPERACIONES RELACIONADAS CON EL CONTROL DEL ESTADO NACIONAL EN LA PRODUCCION Y DE DISTRIBUCION DE FENTANILO Y OTRAS CUESTIONES CONEXAS.-</t>
  </si>
  <si>
    <t xml:space="preserve"> 76 18/09/2025 -</t>
  </si>
  <si>
    <t xml:space="preserve"> LOUSTEAU, MARTÍN - BLANCO, PABLO DANIEL -</t>
  </si>
  <si>
    <t>LEWANDOWSKI: PROYECTO DE LEY QUE DECLARA LA EMERGENCIA AMBIENTAL, ECONOMICA Y HABITACIONAL, POR EL PLAZO DE (90) DIAS, PRORROGABLE POR IGUAL PLAZO, EN LA LOC. Y COMUNA DE MARIA TERESA Y ZONAS ALEDAÑAS DEL DEPTO. DE GRAL. LOPEZ, PROV. DE SANTA FE.</t>
  </si>
  <si>
    <t>ZIMMERMANN: PROYECTO DE RESOLUCIÓN QUE RINDE HOMENAJE A LA MADRE TERESA DE CALCUTA, AL CONMEMORARSE EL 28° ANIVERSARIO DE SU FALLECIMIENTO, EL 5 DE SEPTIEMBRE DE 2025.</t>
  </si>
  <si>
    <t xml:space="preserve"> 76 04/09/2025 -</t>
  </si>
  <si>
    <t xml:space="preserve"> 29/08/2025 -</t>
  </si>
  <si>
    <t xml:space="preserve"> 01/09/2025 -</t>
  </si>
  <si>
    <t xml:space="preserve"> ZIMMERMANN, VICTOR -</t>
  </si>
  <si>
    <t>01/09/2025</t>
  </si>
  <si>
    <t xml:space="preserve">GIMENEZ NAVARRO: PROYECTO DE LEY QUE MODIFICA SU SIMILAR 26.835 (PROMOCION Y CAPACITACION EN LAS TECNICAS DE REANIMACION CARDIOPULMONAR BASICA)- RESPECTO DE CAPACITAR A LOS ESTUDIANTES Y PERSONAL DOCENTE Y NO DOCENTE QUE SE DESEMPEÑE EN EL SISTEMA EDUCATIVO NACIONAL.
</t>
  </si>
  <si>
    <t xml:space="preserve"> 75 04/09/2025 -</t>
  </si>
  <si>
    <t xml:space="preserve"> 28/08/2025 -</t>
  </si>
  <si>
    <t xml:space="preserve"> GIMÉNEZ NAVARRO, MARÍA CELESTE -</t>
  </si>
  <si>
    <t>29/08/2025</t>
  </si>
  <si>
    <t xml:space="preserve">ABAD: PROYECTO DE LEY QUE MODIFICA SU SIMILAR 27.430 - REGIMEN PENAL TRIBUTARIO- RESPECTO DE UNA ACTUALIZACION AUTOMATICA EN MATERIA DE PUNIBILIDAD TRIBUTARIA.
</t>
  </si>
  <si>
    <t xml:space="preserve">LEWANDOWSKI: PROYECTO DE RESOLUCION QUE REQUIERE A LA AGENCIA NACIONAL DE DISCAPACIDAD (ANDIS), LA INMEDIATA SUSPENSION DE LAS AUDITORIAS REALIZADAS SEGÚN LA RES. N° 187/2025, RESPECTO DE LAS PENSIONES NO CONTRIBUTIVAS POR INVALIDEZ LABORAL, Y OTRAS CUESTIONES CONEXAS.
</t>
  </si>
  <si>
    <t xml:space="preserve"> CORA, STEFANIA - LEWANDOWSKI, MARCELO NÉSTOR - PILATTI VERGARA, MARÍA INÉS -</t>
  </si>
  <si>
    <t xml:space="preserve">BENSUSAN: PROYECTO DE LEY QUE DEROGA LA RES. 1085/25 DEL MINISTERIO DE ECONOMIA DE LA NACION, DE TRANSFERENCIA AL TESORO NACIONAL.
</t>
  </si>
  <si>
    <t xml:space="preserve"> 27/08/2025 -</t>
  </si>
  <si>
    <t>HUALA: COMUNICA FE DE ERRATAS AL PROYECTO DE DECLARACION QUE EXPRESA BENEPLACITO POR LA MEDALLA DE BRONCE OBTENIDA POR LA ESTUDIANTE PAMPEANA VALENTINA NILLES, EN LA "XXXIII OLIMPIADA INTERNACIONAL DE FILOSOFIA", CELEBRADA EN LA UNIVERSIDAD DE BARI, ITALIA, DEL 15 AL 18 DE MAYO DE 2025. (REF. S. 1120/25).</t>
  </si>
  <si>
    <t xml:space="preserve"> 26/08/2025 -</t>
  </si>
  <si>
    <t xml:space="preserve"> HUALA, MARÍA VICTORIA -</t>
  </si>
  <si>
    <t xml:space="preserve">OLIVERA LUCERO: PROYECTO DE LEY QUE MODIFICA EL ART. 55 DE SU SIMILAR 24.449 - TRANSITO -, RESPECTO DEL TRANSPORTE DE ESCOLARES. </t>
  </si>
  <si>
    <t xml:space="preserve"> 74 04/09/2025 -</t>
  </si>
  <si>
    <t>GALARETTO Y OTRAS: PROYECTO DE LEY QUE MODIFICA SU SIMILAR 17.671 -DE IDENTIFICACION, REGISTRO Y CLASIFICACION DEL POTENCIAL HUMANO NACIONAL -, SOBRE RECONOCIMIENTO DE LA CREDENCIAL DIGITAL DEL DNI E INCORPORACION DEL SISTEMA DE IDENTIDAD DIGITAL OFICIAL (IDO).</t>
  </si>
  <si>
    <t xml:space="preserve"> 25/08/2025 -</t>
  </si>
  <si>
    <t xml:space="preserve"> GALARETTO, EDUARDO HORACIO - TERENZI, EDITH ELIZABETH - AVILA, BEATRIZ LUISA - VALENZUELA, MERCEDES GABRIELA - LOSADA, CAROLINA -</t>
  </si>
  <si>
    <t>GALARETTO: PROYECTO DE LEY QUE MODIFICA SU SIMILAR 26.687 (ANTITABAQUISMO) SOBRE REGULACION DE SISTEMAS ELECTRONICOS CON O SIN ADMINISTRACION DE NICOTINA.</t>
  </si>
  <si>
    <t>LEAVY Y GONZALEZ: PROYECTO DE RESOLUCION QUE CITA A LA SEÑORA SECRETARIA GENERAL DE LA PRESIDENCIA DE LA NACION, LIC. KARINA ELIZABETH MILEI, DE CONFORMIDAD AL ART. 71 DE LA C.N. Y EL ART. 214 DEL REGLAMENTO DEL H. SENADO, A FIN DE DAR EXPLICACIONES SOBRE LOS AUDIOS ADJUDICADOS AL EX DIRECTOR DE LA AGENCIA NACIONAL DE DISCAPACIDAD (ANDIS), DR. DIEGO SPAGNUOLO.</t>
  </si>
  <si>
    <t xml:space="preserve"> PILATTI VERGARA, MARÍA INÉS - CORA, STEFANIA - GONZÁLEZ, MARÍA TERESA MARGARITA - LEAVY, SERGIO NAPOLEÓN - LINARES, CARLOS ALBERTO -</t>
  </si>
  <si>
    <t xml:space="preserve">CARAMBIA: PROYECTO DE LEY QUE OTORGA UN INCREMENTO ECONOMICO PREVISIONAL A TODAS LAS JUBILACIONES Y PENSIONES ABONADAS POR LA ANSES, QUE TENGAN MOVILIDAD DETERMINADAS POR EL ART. 32 DE LA LEY 24.241 - SISTEMA INTEGRADO DE JUBILACIONES Y PENSIONES -.
</t>
  </si>
  <si>
    <t xml:space="preserve"> 73 04/09/2025 -</t>
  </si>
  <si>
    <t xml:space="preserve"> 22/08/2025 -</t>
  </si>
  <si>
    <t xml:space="preserve">GARCIA LARRABURU Y OTROS: PROYECTO DE LEY QUE DEROGA LOS DECRETOS 396/25; 458/25; 447/25 Y 459/25.
</t>
  </si>
  <si>
    <t xml:space="preserve"> 21/08/2025 -</t>
  </si>
  <si>
    <t xml:space="preserve"> GARCÍA LARRABURU, SILVINA MARCELA - RODAS, ANTONIO JOSÉ - DURÉ, MARÍA EUGENIA - RECALDE, MARIANO - LÓPEZ, MARÍA FLORENCIA - MOISES, MARÍA CAROLINA - KIRCHNER, ALICIA MARGARITA ANTONIA - PILATTI VERGARA, MARÍA INÉS - CORA, STEFANIA - GONZÁLEZ, MARÍA TERESA MARGARITA - DE PEDRO, EDUARDO ENRIQUE - GIMÉNEZ NAVARRO, MARÍA CELESTE - SAPAG, SILVIA ESTELA  - MONTENEGRO, GERARDO ANTENOR - PARRILLI, OSCAR ISIDRO - NEDER, JOSÉ EMILIO -</t>
  </si>
  <si>
    <t xml:space="preserve">CORA Y OTROS: PROYECTO DE LEY QUE CREA LA CAMPAÑA NACIONAL DE CONCIENTIZACIÓN SOBRE LUDOPATÍA EN EL ÁMBITO DEPORTIVO.
</t>
  </si>
  <si>
    <t xml:space="preserve">  -  -</t>
  </si>
  <si>
    <t xml:space="preserve"> 29/08/2025 - 19/09/2025 -</t>
  </si>
  <si>
    <t xml:space="preserve"> CORA, STEFANIA - ANDRADA, GUILLERMO EDUARDO - REJAL, JESÚS FERNANDO - CORPACCI, LUCÍA BENIGNA - DE PEDRO, EDUARDO ENRIQUE - FERNÁNDEZ SAGASTI, ANABEL - DURÉ, MARÍA EUGENIA -</t>
  </si>
  <si>
    <t xml:space="preserve">CORPACCI Y OTROS: PROYECTO DE RESOLUCION QUE CITA AL MINISTRO DE SALUD, DR. MARIO IVAN LUGONES Y A LAS AUTORIDADES DE LA ADMINISTRACION NACIONAL DE MEDICAMENTOS, ALIMENTOS Y TECNOLOGIA MEDICA (ANMAT), DE CONFORMIDAD AL ART. 71 DE LA C.N. Y EL ART. 214 DEL REGLAMENTO DEL H. SENADO, A FIN DE BRINDAR INFORME SOBRE EL USO DE FENTANILO CONTAMINADO.
</t>
  </si>
  <si>
    <t xml:space="preserve"> 01/10/2025 -  -</t>
  </si>
  <si>
    <t xml:space="preserve"> 29/08/2025 - 05/03/2026 -</t>
  </si>
  <si>
    <t xml:space="preserve"> CORPACCI, LUCÍA BENIGNA - BENSUSÁN, DANIEL PABLO - MOISES, MARÍA CAROLINA - DOÑATE, CLAUDIO MARTÍN - DURÉ, MARÍA EUGENIA - KIRCHNER, ALICIA MARGARITA ANTONIA - ANDRADA, GUILLERMO EDUARDO - SAPAG, SILVIA ESTELA  - GIMÉNEZ, NORA DEL VALLE -</t>
  </si>
  <si>
    <t>06/03/2026</t>
  </si>
  <si>
    <t>CORPACCI: PLANTEA CUESTION DE PRIVILEGIO.</t>
  </si>
  <si>
    <t xml:space="preserve">  21/08/2025 -</t>
  </si>
  <si>
    <t xml:space="preserve"> CORPACCI, LUCÍA BENIGNA -</t>
  </si>
  <si>
    <t>21/08/2025</t>
  </si>
  <si>
    <t>BLANCO: PLANTEA CUESTION DE PRIVILEGIO.</t>
  </si>
  <si>
    <t xml:space="preserve">LOUSTEAU: PLANTEA CUESTION DE PRIVILEGIO  </t>
  </si>
  <si>
    <t xml:space="preserve">LOPEZ M.F.: PROYECTO DE LEY QUE DECLARA EL ESTADO DE EMERGENCIA A LA CADENA DE VALOR TEXTIL, EN TODO EL TERRITORIO DE LA REP. ARGENTINA POR EL TÉRMINO DE DOS AÑOS, PRORROGABLE POR UNICA VEZ POR EL TERMINO DE UN AÑO.
</t>
  </si>
  <si>
    <t xml:space="preserve"> 20/08/2025 -</t>
  </si>
  <si>
    <t xml:space="preserve">CARAMBIA: PROYECTO DE LEY QUE DECLARA EL ESTADO DE EMERGENCIA DE LA INFRAESTRUCTURA Y SEGURIDAD DE LA RED VIAL NACIONAL, POR EL PLAZO DE 3 AÑOS, PRORROGABLES POR UNICA VEZ HASTA 18 MESES.
</t>
  </si>
  <si>
    <t xml:space="preserve">CARAMBIA: PROYECTO DE LEY QUE INSTITUYE EL 21 DE NOVIEMBRE DE CADA AÑO, COMO DÍA NACIONAL DEL GUANACO.
</t>
  </si>
  <si>
    <t xml:space="preserve">AVILA: PROYECTO DE LEY QUE CREA UN PROGRAMA DE SEGURIDAD DESTINADO A IDENTIFICAR Y GEOLOCALIZAR ESTABLECIMIENTOS Y ESCUELAS RURALES EN SITUACION DE EMERGENCIA. 
</t>
  </si>
  <si>
    <t xml:space="preserve"> 72 04/09/2025 -</t>
  </si>
  <si>
    <t xml:space="preserve"> 16/09/2025 - 05/03/2026 -</t>
  </si>
  <si>
    <t>AVILA: PROYECTO DE LEY QUE MODIFICA SU SIMILAR 27.155 - EJERCICIO PROFESIONAL DE GUARDAVIDAS - RESPECTO DE REGULAR LA ACTIVIDAD DE LOS GUARDAVIDAS.</t>
  </si>
  <si>
    <t xml:space="preserve">AVILA: PROYECTO DE LEY QUE MODIFICA SU SIMILAR 24.898 -SERVICIO METEOROLOGICO NACIONAL - SOBRE INFORMAR A TRAVES DE LOS MEDIOS DE COMUNICACIÓN LA INTENSIDAD DE LA RADIACION ULTRAVIOLETA.
</t>
  </si>
  <si>
    <t xml:space="preserve">FERNANDEZ SAGASTI: PROYECTO DE LEY QUE CREA EL "PROGRAMA ACERCAR DERECHOS PARA PERSONAS EN SITUACION DE VIOLENCIAS POR MOTIVOS DE GENERO".
</t>
  </si>
  <si>
    <t xml:space="preserve"> 18/08/2025 -</t>
  </si>
  <si>
    <t>KIRCHNER Y OTRAS: PROYECTO DE RESOLUCION QUE SOLICITA INFORME SOBRE LA DECISION DE CERRAR DEFINITIVAMENTE EL JARDIN DEL BOSQUE Y OTRAS CUESTIONES CONEXAS.</t>
  </si>
  <si>
    <t xml:space="preserve"> 71 04/09/2025 -</t>
  </si>
  <si>
    <t xml:space="preserve"> 13/08/2025 -</t>
  </si>
  <si>
    <t xml:space="preserve"> KIRCHNER, ALICIA MARGARITA ANTONIA - CORA, STEFANIA - DURÉ, MARÍA EUGENIA - SAPAG, SILVIA ESTELA  - CORPACCI, LUCÍA BENIGNA - PILATTI VERGARA, MARÍA INÉS -</t>
  </si>
  <si>
    <t>ROMERO: PROYECTO DE LEY QUE MODIFICA  SU SIMILAR 25.507 - INSTITUTO DE PROMOCION DE LA CARNE VACUNA ARGENTINA - QUE CREA EL FONDO DE PROMOCION DE CARNE VACUNA ARGENTINA Y OTRAS CUESTIONES CONEXAS.</t>
  </si>
  <si>
    <t xml:space="preserve"> 71 21/08/2025 -</t>
  </si>
  <si>
    <t>18/08/2025</t>
  </si>
  <si>
    <t>SILVA: PROYECTO DE LEY DE INTEGRACION DE LA INTELIGENCIA ARTIFICIAL EN LA LEY DE EDUCACION NACIONAL - LEY 26.206 -.</t>
  </si>
  <si>
    <t xml:space="preserve"> 70 21/08/2025 -</t>
  </si>
  <si>
    <t xml:space="preserve"> 12/08/2025 -</t>
  </si>
  <si>
    <t xml:space="preserve"> SILVA, MÓNICA ESTHER -</t>
  </si>
  <si>
    <t>DURÉ Y OTRAS: PROYECTO DE RESOLUCION QUE SOLICITA REABRIR EL JARDÍN MATERNO-INFANTIL DEL HONORABLE SENADO DE LA NACION.</t>
  </si>
  <si>
    <t xml:space="preserve"> 11/08/2025 -</t>
  </si>
  <si>
    <t xml:space="preserve"> GIMÉNEZ, NORA DEL VALLE - DURÉ, MARÍA EUGENIA - KIRCHNER, ALICIA MARGARITA ANTONIA - SAPAG, SILVIA ESTELA  - CORA, STEFANIA - PILATTI VERGARA, MARÍA INÉS - GIMÉNEZ NAVARRO, MARÍA CELESTE -</t>
  </si>
  <si>
    <t xml:space="preserve">RECALDE: PROYECTO DE LEY QUE INCORPORA EL ART. 2° BIS A SU SIMILAR 19.032 (INSTITUTO NACIONAL DE SERVICIOS SOCIALES PARA JUBILADOS Y PENSIONADOS) Y S/M, RESPECTO DE OTORGAR COBERTURA DEL 100% PARA LAS INDICACIONES MEDICAS CONTEMPLADAS EN EL "VADEMECUM DE MEDICAMENTOS ESENCIALES".
</t>
  </si>
  <si>
    <t xml:space="preserve">CARAMBIA Y OTROS: PROYECTO DE LEY QUE DECLARA CAPITAL NACIONAL DEL GOLFO SAN JORGE A LA CDAD. DE CALETA OLIVIA, PROV. DE SANTA CRUZ. 
</t>
  </si>
  <si>
    <t xml:space="preserve"> 69 21/08/2025 -</t>
  </si>
  <si>
    <t xml:space="preserve"> 08/08/2025 -</t>
  </si>
  <si>
    <t xml:space="preserve"> GADANO, NATALIA ELENA - CARAMBIA, JOSÉ MARÍA - ABDALA, BARTOLOMÉ ESTEBAN -</t>
  </si>
  <si>
    <t xml:space="preserve">CARAMBIA Y OTROS: PROYECTO DE LEY QUE DECLARA CAPITAL NACIONAL DEL PINGÜINO DE PENACHO AMARILLO A LA CIUDAD DE PUERTO DESEADO, PROV. DE SANTA CRUZ. </t>
  </si>
  <si>
    <t xml:space="preserve"> CARAMBIA, JOSÉ MARÍA - ABDALA, BARTOLOMÉ ESTEBAN - GADANO, NATALIA ELENA -</t>
  </si>
  <si>
    <t xml:space="preserve">CARAMBIA Y GADANO: PROYECTO DE LEY QUE DECLARA CAPITAL NACIONAL DEL VIENTO A LA CDAD. DE RIO GALLEGOS, PROV. DE SANTA CRUZ.
</t>
  </si>
  <si>
    <t xml:space="preserve"> GADANO, NATALIA ELENA - CARAMBIA, JOSÉ MARÍA -</t>
  </si>
  <si>
    <t xml:space="preserve">CARAMBIA Y OTROS: PROYECTO DE LEY QUE DECLARA CAPITAL NACIONAL DE LA ESTEPA PATAGONICA  A LA CIUDAD DE LAS HERAS, PROV. DE SANTA CRUZ.
</t>
  </si>
  <si>
    <t>DURE: PROYECTO DE LEY QUE ESTABLECE UNA CAMPAÑA NACIONAL DE DIFUSION Y CONCIENTIZACION SOBRE LA DONACION VOLUNTARIA Y HABITUAL DE SANGRE.</t>
  </si>
  <si>
    <t>SALINO Y MOISES: PROYECTO DE LEY QUE DEROGA EL DECRETO Nº 351/25 DEL PEN QUE DISPONE LA TRANSFORMACIÓN DEL BANCO NACIONAL DE DATOS GENÉTICOS (BNDG).</t>
  </si>
  <si>
    <t xml:space="preserve"> 68 21/08/2025 -</t>
  </si>
  <si>
    <t xml:space="preserve"> 07/08/2025 -</t>
  </si>
  <si>
    <t xml:space="preserve"> MOISES, MARÍA CAROLINA - SALINO, FERNANDO ALDO -</t>
  </si>
  <si>
    <t xml:space="preserve">OLIVERA LUCERO: PROYECTO DE LEY QUE CREA UN ACCESO DIRECTO EN EL SITIO WEB DE LA DIRECCION NACIONAL ELECTORAL CON LA INFORMACION DE LOS CANDIDATOS A CARGOS PUBLICOS.   
</t>
  </si>
  <si>
    <t xml:space="preserve"> 67 21/08/2025 -</t>
  </si>
  <si>
    <t xml:space="preserve"> 06/08/2025 -</t>
  </si>
  <si>
    <t>07/08/2025</t>
  </si>
  <si>
    <t>SALINO Y OTROS: PROYECTO DE LEY QUE MODIFICA SU SIMILAR 26122, RESPECTO DEL REGIMEN LEGAL DE LOS DECRETOS DE NECESIDAD Y URGENCIA, DE DELEGACION LEGISLATIVA Y DE PROMULGACION PARCIAL DE LEYES.</t>
  </si>
  <si>
    <t xml:space="preserve"> 67 21/08/2025 - 91 18/03/2026 -</t>
  </si>
  <si>
    <t xml:space="preserve"> 06/08/2025 - 16/10/2025 -</t>
  </si>
  <si>
    <t xml:space="preserve">  - 21/08/2025 - 04/11/2025 -</t>
  </si>
  <si>
    <t xml:space="preserve"> 04/03/2026 - 07/08/2025 - 16/10/2025 -</t>
  </si>
  <si>
    <t xml:space="preserve"> SALINO, FERNANDO ALDO - REJAL, JESÚS FERNANDO - ANDRADA, GUILLERMO EDUARDO - MOISES, MARÍA CAROLINA -</t>
  </si>
  <si>
    <t>16/10/2025</t>
  </si>
  <si>
    <t>04/11/2025</t>
  </si>
  <si>
    <t>05/03/2026</t>
  </si>
  <si>
    <t xml:space="preserve">AP  04/09/2025  MO  08/10/2025        </t>
  </si>
  <si>
    <t xml:space="preserve">MENDOZA: PROYECTO DE LEY QUE TRANSFIERE A TITULO GRATUITO A FAVOR DE LA MUNICIPALIDAD DE FAMAILLA, PROV. DE TUCUMAN, LOS INMUEBLES PERTENECIENTES AL ESTADO NACIONAL DE EX FERROCARRILES ARGENTINOS (SUP. 52.608,98 M2), Y OTRAS CUESTIONES CONEXAS.
</t>
  </si>
  <si>
    <t xml:space="preserve"> MENDOZA, SANDRA MARIELA -</t>
  </si>
  <si>
    <t xml:space="preserve">VIGO: PROYECTO DE RESOLUCIÓN QUE INSTA A LA REPARACION Y PUESTA EN VALOR DE LA RN 158 QUE UNE A LAS CIUDADES DE SAN FRANCISCO Y RIO CUARTO, EN LA PROV. DE CÓRDOBA.                                                                                                      </t>
  </si>
  <si>
    <t xml:space="preserve"> 66 21/08/2025 -</t>
  </si>
  <si>
    <t xml:space="preserve"> 31/07/2025 -</t>
  </si>
  <si>
    <t xml:space="preserve"> VIGO, ALEJANDRA MARÍA -</t>
  </si>
  <si>
    <t>ROJAS DECUT: PROYECTO DE LEY DE REGIMEN NACIONAL DE PROMOCION DEL HIDROGENO BAJO EN EMISIONES.</t>
  </si>
  <si>
    <t xml:space="preserve"> 30/07/2025 -</t>
  </si>
  <si>
    <t xml:space="preserve"> ROJAS DECUT, SONIA ELIZABETH -</t>
  </si>
  <si>
    <t>SUAREZ Y JURI: PROYECTO DE LEY QUE INCORPORA EL ART 139 BIS A SU SIMILAR 19.945 - CODIGO ELECTORAL- RESPECTO DE CANDIDATURAS TESTIMONIALES.</t>
  </si>
  <si>
    <t xml:space="preserve"> 05/08/2025 -</t>
  </si>
  <si>
    <t xml:space="preserve"> ABAD, MAXIMILIANO - SUÁREZ, RODOLFO ALEJANDRO - JURI, MARIANA -</t>
  </si>
  <si>
    <t>05/08/2025</t>
  </si>
  <si>
    <t xml:space="preserve">LOPEZ C.: PROYECTO DE LEY QUE DECLARA DE INTERES ESTRATEGICO NACIONAL LA CONEXIÓN AEREA COMERCIAL ENTRE LA PROVINCIA DE TIERRA DEL FUEGO, A.I.A.S., Y LA ANTARTIDA ARGENTINA.                                                                                                                                                                                            </t>
  </si>
  <si>
    <t>GIMENEZ NAVARRO: PROYECTO DE LEY SOBRE PROCEDIMIENTO PARA LA DECLARACION DE FIESTAS NACIONALES Y CAPITALES NACIONALES.</t>
  </si>
  <si>
    <t xml:space="preserve"> 29/07/2025 -</t>
  </si>
  <si>
    <t>GIMENEZ NAVARRO: PROYECTO DE LEY DE CAPACITACION OBLIGATORIA EN TECNICAS DE REANIMACION CARDIOPULMONAR BASICAS EN LA ADMINISTRACION PUBLICA NACIONAL.</t>
  </si>
  <si>
    <t xml:space="preserve">GIMENEZ NAVARRO: PROYECTO DE LEY QUE INCORPORA AL CODIGO CIVIL Y COMERCIAL DE LA NACION LA PERSPECTIVA DE GENERO EN LOS PROCESOS DE FAMILIA.                                                                                                                                                                                                   </t>
  </si>
  <si>
    <t>PILATTI VERGARA: PROYECTO DE RESOLUCION QUE DISPONE LA REAPERTURA DEL JARDIN MATERNAL "JARDIN DEL BOSQUE".</t>
  </si>
  <si>
    <t xml:space="preserve"> 28/07/2025 -</t>
  </si>
  <si>
    <t xml:space="preserve">DE PEDRO Y OTROS: PROYECTO DE LEY QUE DECLARA A AGUA Y SANEAMIENTOS ARGENTINOS SOCIEDAD ANONIMA (AYSA), DE INTERES PUBLICO Y ESTRATEGICO PARA EL DESARROLLO HUMANO, EN LOS TERMINOS DEL ART. 75 INC. 19 DE LA C.N.                                                                                                                                                                                                                                              </t>
  </si>
  <si>
    <t xml:space="preserve"> 25/07/2025 -</t>
  </si>
  <si>
    <t xml:space="preserve"> DE PEDRO, EDUARDO ENRIQUE - DURÉ, MARÍA EUGENIA - RECALDE, MARIANO - KIRCHNER, ALICIA MARGARITA ANTONIA - MENDOZA, SANDRA MARIELA - REJAL, JESÚS FERNANDO - PILATTI VERGARA, MARÍA INÉS - LÓPEZ, MARÍA FLORENCIA - CORA, STEFANIA - GIMÉNEZ, NORA DEL VALLE - SALINO, FERNANDO ALDO - GONZÁLEZ, MARÍA TERESA MARGARITA - SAPAG, SILVIA ESTELA  -</t>
  </si>
  <si>
    <t>GADANO: PROYECTO DE LEY QUE CREA LA COMISION NACIONAL DE ANALISIS DE CAUSAS (CONAC) COMO ORGANISMO DESCENTRALIZADO DEL MINISTERIO DE JUSTICIA.</t>
  </si>
  <si>
    <t xml:space="preserve"> 65 21/08/2025 -</t>
  </si>
  <si>
    <t xml:space="preserve"> 24/07/2025 -</t>
  </si>
  <si>
    <t xml:space="preserve">GADANO: PROYECTO DE LEY QUE ESTABLECE UNA BARRERA FITOSANITARIA DE CONTROL CONTRA LA FIEBRE AFTOSA PARA DIVERSAS PROVINCIAS DE LA REGION PATAGONICA.
</t>
  </si>
  <si>
    <t>GADANO: PROYECTO DE LEY QUE CREA UN REEMBOLSO ADICIONAL A LA EXPORTACION DE MERCADERIAS QUE SE REALICEN POR LOS PUERTOS Y ADUANAS AL SUR DEL RIO COLORADO.</t>
  </si>
  <si>
    <t>LOPEZ C.: PROYECTO DE RESOLUCION QUE INSTA A LA COMISION BICAMERAL PERMANENTE DEL DEFENSOR DEL PUEBLO, A CUBRIR EL CARGO DE DEFENSOR DEL PUEBLO DE LA NACION, CONFORME A LO PREVISTO EN LA LEY 24.248 Y EN EL ART. 86 DE LA C.N.</t>
  </si>
  <si>
    <t>BICAMERAL PERMANENTE DE LA DEFENSORÍA DEL PUEBLO</t>
  </si>
  <si>
    <t>UÑAC: PROYECTO DE LEY SOBRE LAVADO VERDE DE IMAGEN - GREENWASHING.</t>
  </si>
  <si>
    <t xml:space="preserve"> 23/07/2025 -</t>
  </si>
  <si>
    <t>AVILA: PROYECTO DE LEY QUE MODIFICA SU SIMILAR 27.640 - BIOCOMBUSTIBLES-, RESPECTO DEL PORCENTAJE OBLIGATORIO DE BIODIESEL Y BIOETANOL EN EL GASOIL Y LA NAFTA.</t>
  </si>
  <si>
    <t xml:space="preserve"> 22/07/2025 -</t>
  </si>
  <si>
    <t>LEAVY: PROYECTO DE LEY QUE DEROGA EL DECRETO 461/2025 POR EL CUAL SE DISPUSO LA DISOLUCIÓN DE LA COMISIÓN NACIONAL DEL TRÁNSITO Y LA SEGURIDAD VIAL, DE LA AGENCIA NACIONAL DE SEGURIDAD VIAL (ANSV) Y DE LA DIRECCIÓN NACIONAL DE VIALIDAD (DNV).</t>
  </si>
  <si>
    <t xml:space="preserve"> 64 21/08/2025 -</t>
  </si>
  <si>
    <t xml:space="preserve"> 17/07/2025 -</t>
  </si>
  <si>
    <t xml:space="preserve"> 18/07/2025 -</t>
  </si>
  <si>
    <t xml:space="preserve"> LEWANDOWSKI, MARCELO NÉSTOR - LEAVY, SERGIO NAPOLEÓN -</t>
  </si>
  <si>
    <t>18/07/2025</t>
  </si>
  <si>
    <t xml:space="preserve">GARCIA LARRABURU Y OTROS: PROYECTO DE LEY QUE DEROGA EL DCTO. N° 462/2025 QUE TRANSFORMA EL INSTITUTO NACIONAL DE TECNOLOGIA AGROPECUARIA. </t>
  </si>
  <si>
    <t xml:space="preserve"> 63 21/08/2025 -</t>
  </si>
  <si>
    <t xml:space="preserve"> GONZÁLEZ, MARÍA TERESA MARGARITA - CORA, STEFANIA - GARCÍA LARRABURU, SILVINA MARCELA - LEWANDOWSKI, MARCELO NÉSTOR - LÓPEZ, CÁNDIDA CRISTINA - MENDOZA, SANDRA MARIELA - DURÉ, MARÍA EUGENIA -</t>
  </si>
  <si>
    <t>LOSADA Y OTRAS: PROYECTO DE LEY DE PROTECCION INTEGRAL PARA PREVENIR, SANCIONAR Y ERRADICAR LA VIOLENCIA DIGITAL.</t>
  </si>
  <si>
    <t xml:space="preserve"> LOSADA, CAROLINA - VALENZUELA, MERCEDES GABRIELA - JURI, MARIANA - TERENZI, EDITH ELIZABETH -</t>
  </si>
  <si>
    <t>ALVAREZ RIVERO: PROYECTO DE LEY QUE DEROGA DIVERSOS ARTICULOS DE LAS LEYES 21.540, 22.430, 22.731 Y 24018, REFERIDOS A REGIMENES JUBILATORIOS DE PRIVILEGIO.</t>
  </si>
  <si>
    <t>UÑAC: PROYECTO DE LEY QUE MODIFICA A SU SIMILAR 23.349 - IMPUESTO AL VALOR AGREGADO, T.O. 1997 Y MODIFICACIONES- SOBRE LA REDUCCION DE LA ALICUOTA DEL IVA A LAS HARINAS SIN GLUTEN.</t>
  </si>
  <si>
    <t>PILATTI VERGARA: PROYECTO DE LEY QUE RESTABLECE LA VIGENCIA DE LA LEY 26160 -COMUNIDADES INDIGENAS-, HASTA EL 23 DE NOVIEMBRE DE 2029. Y OTRAS CUESTIONES CONEXAS.</t>
  </si>
  <si>
    <t xml:space="preserve"> 16/07/2025 -</t>
  </si>
  <si>
    <t>CORPACCI: PROYECTO DE LEY QUE DEROGA EL DCTO. N° 462/2025, QUE TRANSFORMA AL INSTITUTO NACIONAL DE TECNOLOGÍA AGROPECUARIA.</t>
  </si>
  <si>
    <t xml:space="preserve"> DURÉ, MARÍA EUGENIA - CORPACCI, LUCÍA BENIGNA -</t>
  </si>
  <si>
    <t>CORPACCI: PROYECTO DE LEY QUE DEROGA EL DCTO. N° 461/2025, QUE DISUELVE LA DIRECCIÓN NACIONAL DE VIALIDAD.</t>
  </si>
  <si>
    <t>CORPACCI: PROYECTO DE LEY QUE DECLARA FIESTA NACIONAL AL "FESTIVAL DEL PIMIENTO", QUE SE CELEBRA ANUALMENTE EN LA LOC. DE LA MERCED, DEPTO. PACLIN, PROV. DE CATAMARCA.</t>
  </si>
  <si>
    <t xml:space="preserve"> 62 21/08/2025 -</t>
  </si>
  <si>
    <t xml:space="preserve"> 15/07/2025 -</t>
  </si>
  <si>
    <t>GARCIA LARRABURU Y OTROS: PROYECTO DE LEY DE PROHIBICION DE VENTA, PUBLICIDAD Y PROMOCION DE DISPOSITIVOS ELECTRONICOS DE ADMINISTRACION DE NICOTINA A MENORES DE EDAD (VAPERS).</t>
  </si>
  <si>
    <t xml:space="preserve"> 14/07/2025 -</t>
  </si>
  <si>
    <t xml:space="preserve"> GONZÁLEZ, MARÍA TERESA MARGARITA - MENDOZA, SANDRA MARIELA - GARCÍA LARRABURU, SILVINA MARCELA - LINARES, CARLOS ALBERTO - KIRCHNER, ALICIA MARGARITA ANTONIA - CORA, STEFANIA - NEDER, JOSÉ EMILIO - LEDESMA ABDALA DE ZAMORA, CLAUDIA - BENSUSÁN, DANIEL PABLO - LÓPEZ, MARÍA FLORENCIA -</t>
  </si>
  <si>
    <t>LEWANDOWSKI: REPRODUCE PROYECTO DE LEY QUE PROMUEVE LA FINANCIACION DE PROYECTOS Y DE ACTIVIDADES DEPORTIVAS EN LOS CLUBES DE BARRIO Y DE PUEBLO, MEDIANTE APORTES PRIVADOS (REF. S. 1552/23).</t>
  </si>
  <si>
    <t xml:space="preserve"> 61 21/08/2025 -</t>
  </si>
  <si>
    <t xml:space="preserve"> 11/07/2025 -</t>
  </si>
  <si>
    <t xml:space="preserve">LEWANDOWSKI: REPRODUCE PROYECTO DE LEY QUE MODIFICA LA LEY 20.628 - IMPUESTO A LAS GANANCIAS - RESPECTO DE DEDUCIR LOS GASTOS DE PRACTICAS DEPORTIVAS (REF. 2508/22).  </t>
  </si>
  <si>
    <t xml:space="preserve">  10/07/2025 -</t>
  </si>
  <si>
    <t xml:space="preserve"> 10/07/2025 -</t>
  </si>
  <si>
    <t>11/07/2025</t>
  </si>
  <si>
    <t>GARCÍA LARRABURU Y OTROS: PROYECTO DE DECLARACIÓN QUE REPUDIA EL DTO. 462/2025, QUE MODIFICA LA ESTRUCTURA DEL INSTITUTO NACIONAL DE TECNOLOGÍA AGROPECUARIA (INTA).</t>
  </si>
  <si>
    <t xml:space="preserve"> NEDER, JOSÉ EMILIO - MOISES, MARÍA CAROLINA - MONTENEGRO, GERARDO ANTENOR - GARCÍA LARRABURU, SILVINA MARCELA - LEWANDOWSKI, MARCELO NÉSTOR - LINARES, CARLOS ALBERTO - CORPACCI, LUCÍA BENIGNA - KIRCHNER, ALICIA MARGARITA ANTONIA - GIMÉNEZ NAVARRO, MARÍA CELESTE - PILATTI VERGARA, MARÍA INÉS - DE PEDRO, EDUARDO ENRIQUE - GIMÉNEZ, NORA DEL VALLE - DURÉ, MARÍA EUGENIA - SAPAG, SILVIA ESTELA  - MENDOZA, SANDRA MARIELA - LEAVY, SERGIO NAPOLEÓN - FERNÁNDEZ SAGASTI, ANABEL - LEDESMA ABDALA DE ZAMORA, CLAUDIA - GONZÁLEZ, MARÍA TERESA MARGARITA - REJAL, JESÚS FERNANDO - CORA, STEFANIA - PARRILLI, OSCAR ISIDRO - BENSUSÁN, DANIEL PABLO - DOÑATE, CLAUDIO MARTÍN - ANDRADA, GUILLERMO EDUARDO - DI TULLIO, JULIANA - SALINO, FERNANDO ALDO - UÑAC, SERGIO MAURICIO -</t>
  </si>
  <si>
    <t>LOPEZ: PROYECTO DE RESOLUCION QUE INSTITUYE EL "PREMIO FEDERAL AL DEPORTE ARGENTINO", RECONOCIMIENTO ANUAL POR EL H.S.N., A DEPORTISTAS O GRUPOS DEPORTIVOS PROFESIONALES.</t>
  </si>
  <si>
    <t xml:space="preserve"> 60 21/08/2025 -</t>
  </si>
  <si>
    <t xml:space="preserve"> 07/07/2025 -</t>
  </si>
  <si>
    <t>08/07/2025</t>
  </si>
  <si>
    <t xml:space="preserve">ROMERO: PROYECTO DE LEY QUE MODIFICA SU SIMILAR 23.966 - IMPUESTOS - RESPECTO DE LOS PORCENTAJES ASIGNADOS A LAS DIFERENTES FINALIDADES RECAUDATORIAS. </t>
  </si>
  <si>
    <t xml:space="preserve"> 04/07/2025 -</t>
  </si>
  <si>
    <t>AVILA: PROYECTO DE LEY QUE CREA EL REGISTRO NACIONAL DE SISTEMAS DE RETENCION INFANTIL (SRI).</t>
  </si>
  <si>
    <t>LOSADA Y OTROS: PROYECTO DE LEY QUE MODIFICA SU SIMILAR 24.937- CONSEJO DE LA MAGISTRATURA -, RESPECTO DE INICIAR UN PROCEDIMIENTO DE REMOCION DE DICHO ORGANISMO.</t>
  </si>
  <si>
    <t xml:space="preserve"> 59 21/08/2025 -</t>
  </si>
  <si>
    <t xml:space="preserve"> LOSADA, CAROLINA - OLALLA, STELLA MARIS - BLANCO, PABLO DANIEL - VALENZUELA, MERCEDES GABRIELA - FAMA, FLAVIO SERGIO - KRONEBERGER, DANIEL RICARDO - VISCHI, EDUARDO ALEJANDRO -</t>
  </si>
  <si>
    <t>PILATTI VERGARA: PROYECTO DE LEY QUE INCOPORA COMO ART. 3° BIS DE SU SIMILAR 27.234 -VIOLENCIA DE GENERO-, RESPECTO DE GARANTIZAR LA REALIZACION DE LAS JORNADAS "EDUCAR EN IGUALDAD: PREVENCION Y ERRADICACION DE LA VIOLENCIA DE GENERO", EN EL MARCO DE LA POLITICA EDUCATIVA FEDERAL.</t>
  </si>
  <si>
    <t>PILATTI VERGARA Y OTROS: PROYECTO DE LEY QUE DECLARA EL ESTADO DE EMERGENCIA DE LA INFRAESTRUCTURA VIAL NACIONAL, POR EL PLAZO DE 1 AÑO.</t>
  </si>
  <si>
    <t xml:space="preserve"> 03/07/2025 -</t>
  </si>
  <si>
    <t xml:space="preserve"> PILATTI VERGARA, MARÍA INÉS - GARCÍA LARRABURU, SILVINA MARCELA - KIRCHNER, ALICIA MARGARITA ANTONIA - LINARES, CARLOS ALBERTO - GIMÉNEZ NAVARRO, MARÍA CELESTE -</t>
  </si>
  <si>
    <t>OLIVERA LUCERO: PROYECTO DE LEY QUE INCORPORA, UN PROTOCOLO DE DETECCION DE ADICCION A LAS PANTALLAS Y USOS PROBLEMATICOS DE LA TECNOLOGIAS DE LA INFORMACION Y LA COMUNICACIÓN (TIC), EN MENORES DE 18 AÑOS, EN EL CONTROL DEL NIÑO SANO.</t>
  </si>
  <si>
    <t>UÑAC: PROYECTO DE LEY SOBRE RÉGIMEN DE EMERGENCIA Y PROMOCIÓN PARA LAS PYMES VITIVINÍCOLAS.</t>
  </si>
  <si>
    <t xml:space="preserve"> 02/07/2025 -</t>
  </si>
  <si>
    <t>PARRILLI Y OTROS: PROYECTO DE RESOLUCION QUE RECHAZA Y DECLARA NULO EL FALLO DE LA JUEZA LORETTA PRESKA DEL DISTRITO SUR DE NUEVA YORK QUE CONDENA A LA ARGENTINA POR LA RENACIONALIZACION DE YPF Y OTRAS CUESTIONES CONEXAS.</t>
  </si>
  <si>
    <t xml:space="preserve"> 58 21/08/2025 -</t>
  </si>
  <si>
    <t xml:space="preserve"> NEDER, JOSÉ EMILIO - LINARES, CARLOS ALBERTO - PARRILLI, OSCAR ISIDRO - MAYANS, JOSÉ MIGUEL ÁNGEL - DI TULLIO, JULIANA - DURÉ, MARÍA EUGENIA - GARCÍA LARRABURU, SILVINA MARCELA - SAPAG, SILVIA ESTELA  - MENDOZA, SANDRA MARIELA - CORA, STEFANIA - FERNÁNDEZ SAGASTI, ANABEL - GONZÁLEZ, MARÍA TERESA MARGARITA - KIRCHNER, ALICIA MARGARITA ANTONIA - LÓPEZ, MARÍA FLORENCIA - MANZUR, JUAN LUIS - PILATTI VERGARA, MARÍA INÉS - LEAVY, SERGIO NAPOLEÓN - GIMÉNEZ NAVARRO, MARÍA CELESTE -</t>
  </si>
  <si>
    <t>MENDOZA: REPRODUCE PROYECTO DE LEY QUE MODIFICA SU SIMILAR 26.485 (PROTECCIÓN INTEGRAL DE LAS MUJERES), ESTABLECIENDO LA IMPLEMENTACIÓN DE UN SISTEMA DE MONITOREO Y ALERTA PARA PREVENIR INCUMPLIMIENTOS DE LAS MEDIDAS DISPUESTAS POR LA AUTORIDAD COMPETENTE. (REF. S. 1912/23)</t>
  </si>
  <si>
    <t>GIMENEZ NAVARRO: PROYECTO DE LEY QUE MODIFICA SU SIMILAR 26.835 - DE PROMOCION Y CAPACITACION EN LAS TECNICAS DE REANIMACION CARDIOPULMONAR BASICAS (RCP), RESPECTO DE CAPACITAR A PERSONAL DOCENTE Y NO DOCENTE Y LA PROMOCION DE UNA CAMPAÑA DE DIVULGACION.</t>
  </si>
  <si>
    <t>ATAUCHE: PROYECTO DE LEY QUE INCORPORA EL ART. 9° BIS A SU SIMILAR 14.250 - CONVENCIONES COLECTIVAS DE TRABAJO - RESPECTO DE TRANSFORMAR EN VOLUNTARIOS LOS APORTES, CONTRIBUCIONES O CUALQUIER OTRO TIPO DE CARGA ECONÓMICA EN BENEFICIO DE LAS CÁMARAS, ASOCIACIONES O AGRUPACIONES DE EMPLEADORES.</t>
  </si>
  <si>
    <t xml:space="preserve">LOPEZ C. Y OTROS: PROYECTO DE RESOLUCION QUE EXIGE MOCION DE CENSURA AL JEFE DE GABINETE DE MINISTROS, EN LOS TERMINOS DEL ART. 101 DE LA CN., POR SU RETIRO DE LA SESION INFORMATIVA DEL 26 DE JUNIO Y NO COMPARECER EN LA CONVOCATORIA PREVISTA PARA EL 2 DE JULIO DEL CORRIENTE. </t>
  </si>
  <si>
    <t xml:space="preserve"> LÓPEZ, CÁNDIDA CRISTINA - GARCÍA LARRABURU, SILVINA MARCELA - SAPAG, SILVIA ESTELA  - PILATTI VERGARA, MARÍA INÉS - LINARES, CARLOS ALBERTO - GONZÁLEZ, MARÍA TERESA MARGARITA -</t>
  </si>
  <si>
    <t xml:space="preserve">REJAL Y OTROS: PROYECTO DE LEY QUE DECLARA LA EMERGENCIA DEL SISTEMA VIAL NACIONAL, POR EL TERMINO DE 2 AÑOS.
</t>
  </si>
  <si>
    <t xml:space="preserve"> REJAL, JESÚS FERNANDO - ANDRADA, GUILLERMO EDUARDO - MOISES, MARÍA CAROLINA - SALINO, FERNANDO ALDO -</t>
  </si>
  <si>
    <t>LOSADA Y OTROS: PROYECTO DE LEY QUE REGULA EL ALCANCE, LAS RELACIONES, LAS CONSECUENCIAS JURÍDICAS Y EL PROCEDIMIENTO DE GESTACIÓN POR SUSTITUCIÓN.</t>
  </si>
  <si>
    <t xml:space="preserve"> 01/07/2025 -</t>
  </si>
  <si>
    <t xml:space="preserve"> LOSADA, CAROLINA - OLALLA, STELLA MARIS - BLANCO, PABLO DANIEL - KRONEBERGER, DANIEL RICARDO - GALARETTO, EDUARDO HORACIO -</t>
  </si>
  <si>
    <t xml:space="preserve">ATAUCHE: PROYECTO DE LEY QUE REGULA EL DERECHO DE LOS USUARIOS DE SERVICIOS FINANCIEROS A LA PORTABILIDAD FINANCIERA.
</t>
  </si>
  <si>
    <t xml:space="preserve"> 57 21/08/2025 -</t>
  </si>
  <si>
    <t xml:space="preserve"> 30/06/2025 -</t>
  </si>
  <si>
    <t xml:space="preserve">CARAMBIA Y OTRAS: PROYECTO DE LEY SOBRE REGIMEN DE FOMENTO NACIONAL PARA EL USO DE FUENTES RENOVABLES DE ENERGIA DESTINADA A LA PRODUCCION DE ENERGIA ELECTRICA. 
</t>
  </si>
  <si>
    <t xml:space="preserve"> CARAMBIA, JOSÉ MARÍA - PILATTI VERGARA, MARÍA INÉS - CREXELL, CARMEN LUCILA - GADANO, NATALIA ELENA -</t>
  </si>
  <si>
    <t>DURÉ: PROYECTO DE LEY DE PROTECCIÓN DE LAS MUJERES TRABAJADORAS QUE PADECEN VIOLENCIA DE GÉNERO.</t>
  </si>
  <si>
    <t xml:space="preserve"> 56 21/08/2025 -</t>
  </si>
  <si>
    <t xml:space="preserve"> 27/06/2025 -</t>
  </si>
  <si>
    <t>30/06/2025</t>
  </si>
  <si>
    <t>HUALA Y OTROS: PROYECTO DE LEY QUE CREA UNA CAMPAÑA NACIONAL PERMANENTE DE CONCIENTIZACION Y EDUCACION VIAL INTEGRAL.</t>
  </si>
  <si>
    <t xml:space="preserve"> HUALA, MARÍA VICTORIA - DE ANGELI, ALFREDO LUIS - VALENZUELA, MERCEDES GABRIELA - KRONEBERGER, DANIEL RICARDO -</t>
  </si>
  <si>
    <t>CARAMBIA: PROYECTO DE LEY QUE SUSTITUYE EL ART. 11 DE SU SIMILAR 24.449 - TRANSITO -, RESPECTO DE LAS EDADES MINIMAS PARA CONDUCIR.</t>
  </si>
  <si>
    <t>CARAMBIA: PROYECTO DE LEY SOBRE MARCO REGULATORIO DE LOS JUEGOS DE APUESTAS EN LINEA Y PROHIBICION DE SU PUBLICIDAD, PATROCINIO, PROMOCION, AUSPICIO Y SPONSOREO PARA LA PREVENCION DE LA CIBERLUDOPATIA INFANTIL.</t>
  </si>
  <si>
    <t>AVILA: PROYECTO DE LEY QUE MODIFICA SU SIMILAR 26.657 - SALUD MENTAL -, RESPECTO DE SU DEFINICIÓN, MODALIDAD DE ABORDAJE E INTERNACIONES.</t>
  </si>
  <si>
    <t>AVILA: PROYECTO DE LEY DE HUMANIZACION DEL DIAGNOSTICO POR IMÁGENES EN PEDIATRIA.</t>
  </si>
  <si>
    <t xml:space="preserve"> 55 21/08/2025 -</t>
  </si>
  <si>
    <t xml:space="preserve"> 26/06/2025 -</t>
  </si>
  <si>
    <t xml:space="preserve">ROMERO: PROYECTO DE LEY QUE CREA EL PLAN NACIONAL DE ALFABETIZACION EN INTELIGENCIA ARTIFICIAL.  </t>
  </si>
  <si>
    <t xml:space="preserve"> 25/06/2025 -</t>
  </si>
  <si>
    <t>REJAL Y OTROS: PROYECTO DE LEY QUE CREA EL REGIMEN ESPECIAL PARA LA INVERSION INMOBILIARIA.</t>
  </si>
  <si>
    <t xml:space="preserve"> REJAL, JESÚS FERNANDO - ANDRADA, GUILLERMO EDUARDO - MOISES, MARÍA CAROLINA -</t>
  </si>
  <si>
    <t>OLIVERA LUCERO: PROYECTO DE LEY QUE CREA EL PROGRAMA NACIONAL DE PREVENCION DE LA ADICCION A LAS PANTALLAS.</t>
  </si>
  <si>
    <t xml:space="preserve"> 54 21/08/2025 -</t>
  </si>
  <si>
    <t>DE PEDRO: PROYECTO DE LEY QUE DISPONE EL CESE DE TODA DELEGACION DE FACULTADES AL PEN EFECTUADA POR SU SIMILAR 27.742 - DE BASES Y PUNTOS DE PARTIDA PARA LA LIBERTAD DE LOS ARGENTINOS -.</t>
  </si>
  <si>
    <t xml:space="preserve"> 53 21/08/2025 -</t>
  </si>
  <si>
    <t xml:space="preserve"> 23/06/2025 -</t>
  </si>
  <si>
    <t>DI TULLIO: REPRODUCE EL PROYECTO DE LEY QUE SUSTITUYE EL ART. 21 DEL DCTO. LEY 1285/58 - ORGANIZACIÓN DE LA JUSTICIA - AMPLIANDO EL NUMERO DE INTEGRANTES DE LA CORTE SUPREMA DE JUSTICIA DE LA NACION, DEBIENDO RESPETARSE EN SU INTEGRACION LA DIVERSIDAD DE GENERO. (REF. S. 1082/20)</t>
  </si>
  <si>
    <t xml:space="preserve"> DI TULLIO, JULIANA -</t>
  </si>
  <si>
    <t xml:space="preserve">TERENZI: PROYECTO DE LEY DE FORMAS ESPECIALES DE CRIMINALIDAD AMBIENTAL. </t>
  </si>
  <si>
    <t xml:space="preserve"> 19/06/2025 -</t>
  </si>
  <si>
    <t xml:space="preserve">SILVA: PROYECTO DE LEY DE LINEAMIENTOS GENERALES PARA LA GESTION INTEGRAL Y SUSTENTABLE DE LOS RESIDUOS DE APARATOS ELECTRICOS Y ELECTRONICOS (RAEE) SEGÚN LO DISPUESTO POR LA LEY 25.916. </t>
  </si>
  <si>
    <t xml:space="preserve">ROJAS DECUT: PROYECTO DE LEY QUE MODIFICA SU SIMILAR 22.421 - PROTECCION Y CONSERVACION DE LA FAUNA SILVESTRE - RESPECTO DE ACTUALIZAR LAS PENAS PARA LAS INFRACCIONES. 
</t>
  </si>
  <si>
    <t>23/06/2025</t>
  </si>
  <si>
    <t xml:space="preserve">LOSADA Y OTROS: PROYECTO DE LEY QUE PROMUEVE EL DERECHO A LA PORTABILIDAD FINANCIERA PARA TODA PERSONA HUMANA O JURIDICA.
</t>
  </si>
  <si>
    <t xml:space="preserve"> LOSADA, CAROLINA - VALENZUELA, MERCEDES GABRIELA - TERENZI, EDITH ELIZABETH - FAMA, FLAVIO SERGIO - OLALLA, STELLA MARIS - KRONEBERGER, DANIEL RICARDO - GALARETTO, EDUARDO HORACIO -</t>
  </si>
  <si>
    <t xml:space="preserve">ZIMMERMANN Y OTROS: PROYECTO DE LEY QUE ESTABLECE UNA TARIFA ELECTRICA DIFERENCIAL PARA EL NEA Y PARTIDA ESPECIFICA PARA SUBSIDIOS DE CONSUMOS ELECTRICOS DEL NORDESTE. 
</t>
  </si>
  <si>
    <t xml:space="preserve"> 18/06/2025 -</t>
  </si>
  <si>
    <t xml:space="preserve"> PAOLTRONI, FRANCISCO MANUEL - ZIMMERMANN, VICTOR - PILATTI VERGARA, MARÍA INÉS - VISCHI, EDUARDO ALEJANDRO - RODAS, ANTONIO JOSÉ - VALENZUELA, MERCEDES GABRIELA - ESPÍNOLA, CARLOS MAURICIO - ARCE, CARLOS OMAR - ROJAS DECUT, SONIA ELIZABETH -</t>
  </si>
  <si>
    <t>AVILA: PROYECTO DE RESOLUCION QUE ESTABLECE EN EL AMBITO DEL H. SENADO DE LA NACION LA "MENCION LOLA MORA: A LAS ARTES Y LA GESTION CULTURAL".</t>
  </si>
  <si>
    <t>19/06/2025</t>
  </si>
  <si>
    <t xml:space="preserve">TERENZI: PROYECTO DE LEY DE AMPLIACIÓN E INTEGRACIÓN DE LA CORTE SUPREMA DE JUSTICIA DE LA NACIÓN.
</t>
  </si>
  <si>
    <t xml:space="preserve"> 52 21/08/2025 -</t>
  </si>
  <si>
    <t xml:space="preserve"> 17/06/2025 -</t>
  </si>
  <si>
    <t xml:space="preserve">FERNANDEZ SAGASTI: PROYECTO DE LEY QUE RESTABLECE LA VIGENCIA DE LOS ARTS. 7 A 11, 13 Y 16 DE SU SIMILAR N° 23.351 - BIBLIOTECAS POPULARES-. </t>
  </si>
  <si>
    <t>GARCIA LARRABURU Y PILATTI VERGARA : PROYECTO DE LEY DE PROTECCION PARA LOS ANIMALES DE EXPERIMENTACION UTILIZADOS CON FINES CIENTIFICOS Y EDUCATIVOS.</t>
  </si>
  <si>
    <t xml:space="preserve"> 13/06/2025 -</t>
  </si>
  <si>
    <t xml:space="preserve"> PILATTI VERGARA, MARÍA INÉS - GARCÍA LARRABURU, SILVINA MARCELA -</t>
  </si>
  <si>
    <t>BLANCO: PROYECTO DE LEY QUE DECLARA LUGAR HISTORICO NACIONAL A LOS DISTINTOS EDIFICIOS, EMPLAZADOS EN EL BATALLON DE INFANTERIA DE MARINA 5, CON ASIENTO EN LA CDAD. DE RIO GRANDE, PROV. DE TIERRA DEL FUEGO, A.I.A.S.</t>
  </si>
  <si>
    <t xml:space="preserve"> 51 21/08/2025 -</t>
  </si>
  <si>
    <t xml:space="preserve"> 12/06/2025 -</t>
  </si>
  <si>
    <t>GALARETTO: PROYECTO DE RESOLUCION QUE RECONOCE A LA CONFEDERACION MÉDICA DE LA REPUBLICA ARGENTINA, AL CONMEMORARSE EL 84° ANIVERSARIO DE SU CREACION, EL 22 DE MAYO DE 2025.</t>
  </si>
  <si>
    <t>GALARETTO Y LOSADA: PROYECTO DE LEY QUE TRANSFIERE A TÍTULO GRATUITO A FAVOR DE LA MUNICIPALIDAD DE MONTE VERA, LOS INMUEBLES PERTENECIENTES AL ESTADO NACIONAL SITOS EN ZONA 1- URBANA, CORRESPONDIENTES AL CUADRO DE LA EX ESTACIÓN DE FERROCARRILES ARGENTINOS DE MONTE VERA, LÍNEA GRAL BELGRANO.</t>
  </si>
  <si>
    <t xml:space="preserve"> GALARETTO, EDUARDO HORACIO - LOSADA, CAROLINA -</t>
  </si>
  <si>
    <t>GALARETTO Y LOSADA: PROYECTO DE LEY QUE TRANSFIERE A TÍTULO GRATUITO A FAVOR DE LA MUNICIPALIDAD DE MONTE VERA, LOS INMUEBLES PERTENECIENTES AL ESTADO NACIONAL SITOS ZONA 2-SUBURBANA, CORRESPONDIENTES AL CUADRO DE LA EX ESTACIÓN GALLARDO DE FERROCARRILES ARGENTINOS, LÍNEA GRAL BELGRANO.</t>
  </si>
  <si>
    <t xml:space="preserve"> LOSADA, CAROLINA - GALARETTO, EDUARDO HORACIO -</t>
  </si>
  <si>
    <t>CORPACCI: PROYECTO DE LEY SOBRE ASISTENCIA Y PROTECCION DE LAS PERSONAS CON DISCAPACIDAD.</t>
  </si>
  <si>
    <t>CREXELL Y OTROS: PROYECTO DE RESOLUCION QUE ESTABLECE EL INCREMENTO DE LOS MODULOS DE LA DIETA DE LOS SRES. SENADORES, Y LOS SUCESIVOS INCREMENTOS QUE DECIDAN NO PERCIBIR VOLUNTARIAMENTE, SERAN DONADOS A LA FUNDACION HOSPITAL DE PEDIATRIA "PROF. JUAN P. GARRAHAN".</t>
  </si>
  <si>
    <t xml:space="preserve"> CREXELL, CARMEN LUCILA - VIGO, ALEJANDRA MARÍA - ESPÍNOLA, CARLOS MAURICIO - TERENZI, EDITH ELIZABETH - ROMERO, JUAN CARLOS -</t>
  </si>
  <si>
    <t>FERNANDEZ SAGASTI: PROYECTO DE LEY QUE RESTABLECE LA VIGENCIA DE LOS ARTS. 7 A 18, 21 A 28 Y 32 DE SU SIMILAR 24.800, RESPECTO DEL RÉGIMEN LEGAL VIGENTE DEL INSTITUTO NACIONAL DEL TEATRO (INT), Y OTRAS CUESTIONES CONEXAS.</t>
  </si>
  <si>
    <t xml:space="preserve"> 11/06/2025 -</t>
  </si>
  <si>
    <t>GARCIA LARRABURU Y OTROS: PROYECTO DE LEY QUE DEROGA LOS DCTOS.345/25 Y 346/25 DEL PODER EJECUTIVO NACIONAL, RESPECTO DE LA AUTARQUIA DEL INSTITUTO NACIONAL DEL TEATRO (INT) Y UNIFICANDO DISTINTOS CENTROS CULTURALES EN UNA UNIDAD ORGANIZATIVA DENTRO DE LA SECRETARIA DE CULTURA DE LA NACION.</t>
  </si>
  <si>
    <t xml:space="preserve"> GIMÉNEZ, NORA DEL VALLE - GARCÍA LARRABURU, SILVINA MARCELA - GONZÁLEZ, MARÍA TERESA MARGARITA - CORPACCI, LUCÍA BENIGNA - LINARES, CARLOS ALBERTO -</t>
  </si>
  <si>
    <t>OLIVERA LUCERO: PROYECTO DE LEY DE PROHIBICION DE LA PIROTECNIA SONORA.</t>
  </si>
  <si>
    <t>BLANCO: PROYECTO DE LEY QUE CREA LA OFICINA ANTICORRUPCION.</t>
  </si>
  <si>
    <t xml:space="preserve"> 10/06/2025 -</t>
  </si>
  <si>
    <t>GARCIA LARRABURU Y OTROS: PROYECTO DE LEY DE REGULACIÓN INTEGRAL DE LA PROFESIÓN DE TURISMO EN LA REP. ARGENTINA.</t>
  </si>
  <si>
    <t xml:space="preserve"> 50 21/08/2025 -</t>
  </si>
  <si>
    <t xml:space="preserve"> CORPACCI, LUCÍA BENIGNA - KIRCHNER, ALICIA MARGARITA ANTONIA - LINARES, CARLOS ALBERTO - GARCÍA LARRABURU, SILVINA MARCELA - GONZÁLEZ, MARÍA TERESA MARGARITA - DURÉ, MARÍA EUGENIA -</t>
  </si>
  <si>
    <t>CORPACCI Y OTROS: PROYECTO DE LEY QUE DECLARA LA EMERGENCIA SANITARIA DE LA SALUD PEDIATRICA Y DE LAS RESIDENCIAS NACIONALES EN SALUD.</t>
  </si>
  <si>
    <t xml:space="preserve"> 18/06/2025 - 12/08/2025 -</t>
  </si>
  <si>
    <t xml:space="preserve"> MONTENEGRO, GERARDO ANTENOR - CORA, STEFANIA - CORPACCI, LUCÍA BENIGNA - FERNÁNDEZ SAGASTI, ANABEL - GARCÍA LARRABURU, SILVINA MARCELA - GIMÉNEZ, NORA DEL VALLE - LINARES, CARLOS ALBERTO - MENDOZA, SANDRA MARIELA - NEDER, JOSÉ EMILIO - GONZÁLEZ, MARÍA TERESA MARGARITA - SALINO, FERNANDO ALDO - LEAVY, SERGIO NAPOLEÓN - DURÉ, MARÍA EUGENIA - KIRCHNER, ALICIA MARGARITA ANTONIA -</t>
  </si>
  <si>
    <t>12/08/2025</t>
  </si>
  <si>
    <t>ROJAS DECUT: PROYECTO DE LEY DE REDUCCIÓN PROGRESIVA DE LOS PLÁSTICOS DE UN SOLO USO EN TODO EL TERRITORIO NACIONAL.</t>
  </si>
  <si>
    <t xml:space="preserve"> 49 21/08/2025 -</t>
  </si>
  <si>
    <t xml:space="preserve"> 05/06/2025 -</t>
  </si>
  <si>
    <t xml:space="preserve"> 09/06/2025 -</t>
  </si>
  <si>
    <t>09/06/2025</t>
  </si>
  <si>
    <t>PARRILLI Y OTROS: PROYECTO DE LEY DE RECUPERACIÓN DE LA CONFIANZA FINANCIERA.</t>
  </si>
  <si>
    <t xml:space="preserve"> PARRILLI, OSCAR ISIDRO - LEAVY, SERGIO NAPOLEÓN - MAYANS, JOSÉ MIGUEL ÁNGEL - REJAL, JESÚS FERNANDO - LÓPEZ, MARÍA FLORENCIA - SAPAG, SILVIA ESTELA  - NEDER, JOSÉ EMILIO - CORA, STEFANIA - PILATTI VERGARA, MARÍA INÉS - GARCÍA LARRABURU, SILVINA MARCELA - GONZÁLEZ, MARÍA TERESA MARGARITA - FERNÁNDEZ SAGASTI, ANABEL - MENDOZA, SANDRA MARIELA - RECALDE, MARIANO -</t>
  </si>
  <si>
    <t>ABDALA: PROYECTO DE LEY QUE MODIFICA SU SIMILAR 25.326 - PROTECCION DE DATOS PERSONALES -, RESPECTO DE INCORPORAR UN REGIMEN DE CONSENTIMIENTO PARA EL TRATAMIENTO DE DATOS PERSONALES DE NIÑAS, NIÑOS Y ADOLESCENTES.</t>
  </si>
  <si>
    <t xml:space="preserve"> 48 21/08/2025 -</t>
  </si>
  <si>
    <t xml:space="preserve"> ABDALA, BARTOLOMÉ ESTEBAN -</t>
  </si>
  <si>
    <t>LOPEZ Y DE PEDRO: PROYECTO DE RESOLUCION QUE CREA EL RECONOCIMIENTO AL MERITO UNIVERSITARIO "EMBAJADORES DEL FUTURO", EN EL ÁMBITO DEL H. SENADO DE LA NACIÓN.</t>
  </si>
  <si>
    <t xml:space="preserve"> 12/08/2025 - 05/03/2026 -</t>
  </si>
  <si>
    <t xml:space="preserve"> LÓPEZ, MARÍA FLORENCIA - DE PEDRO, EDUARDO ENRIQUE -</t>
  </si>
  <si>
    <t>GARCIA LARRABURU: PROYECTO DE LEY QUE INCORPORA AL PROGRAMA MEDICO OBLIGATORIO (PMO), LA TERAPIA ASISTIDA POR CABALLOS (EQUINOTERAPIA).</t>
  </si>
  <si>
    <t>FERNANDEZ SAGASTI: REPRODUCE PROYECTO DE LEY DE CUIDADO INTEGRAL DE LAS PERSONAS CON FIBROMIALGIA. (REF. S.1597/23)</t>
  </si>
  <si>
    <t>FERNANDEZ SAGASTI: REPRODUCE PROYECTO DE LEY SOBRE CUPO DE VIVIENDA PARA FAMILIAS DIVERSAS MONOPARENTALES. (REF. S.510/23)</t>
  </si>
  <si>
    <t>FERNANDEZ SAGASTI: REPRODUCE PROYECTO DE LEY QUE CREA EL INSTITUTO UNIVERSITARIO NACIONAL DE VITIVINICULTURA.  (REF. S.511/23)</t>
  </si>
  <si>
    <t>FERNANDEZ SAGASTI: REPRODUCE PROYECTO DE LEY QUE CREA EL SISTEMA DE CRÉDITOS CONTRIBUTIVOS EN EL SISTEMA INTEGRADO PREVISIONAL ARGENTINO, PARA LA PROMOCIÓN DE PARTICIPACIÓN DE DEPORTISTAS ARGENTINOS. (REF. S.518/23)</t>
  </si>
  <si>
    <t>FERNANDEZ SAGASTI: REPRODUCE PROYECTO DE LEY DE PROMOCIÓN Y APOYO AL DESARROLLO DEL DEPORTE SOSTENIBLE. (REF. S.716/23)</t>
  </si>
  <si>
    <t>FERNANDEZ SAGASTI: REPRODUCE PROYECTO DE LEY DE EJERCICIO PROFESIONAL DE LA OBSTETRICIA (REF. S. 503/23).</t>
  </si>
  <si>
    <t>FERNANDEZ SAGASTI: REPRODUCE PROYECTO DE LEY QUE GARANTIZA EL DERECHO A LA SALUD A LAS PERSONAS CON CAPACIDAD GESTANTE QUE PADECEN ENDOMETRIOSIS (REF. S. 514/23).</t>
  </si>
  <si>
    <t>FERNANDEZ SAGASTI: REPRODUCE PROYECTO DE LEY QUE INCORPORA EL INCISO E) BIS AL ART. 67 DE SU SIMILAR 20.091 - ENTIDADES DE SEGUROS Y SU CONTROL - SOBRE DEBERES Y ATRIBUCIONES DE LA SUPERINTENDENCIA (REF. S. 512/23).</t>
  </si>
  <si>
    <t>FERNANDEZ SAGASTI: REPRODUCE PROYECTO DE LEY QUE ESTABLECE EN LA JURISDICCIÓN FEDERAL EL JUICIO POR JURADOS EN MATERIA PENAL. (REF. S. 591/23).</t>
  </si>
  <si>
    <t>FERNANDEZ SAGASTI: REPRODUCE PROYECTO DE LEY QUE CREA EL PLAN NACIONAL "HABITAR SUSTENTABLE" (REF. S. 2161/23).</t>
  </si>
  <si>
    <t>FERNANDEZ SAGASTI: REPRODUCE PROYECTO DE LEY QUE ESTABLECE QUE LAS SUMAS PERCIBIDAS POR LAS MUJERES O PERSONAS GESTANTES TRABAJADORAS DURANTE EL PERIODO DE LICENCIA LEGAL SERAN CONSIDERADAS COMO REMUNERACIÓN DE LA LIQUIDACIÓN DEL SUELDO ANUAL COMPLEMENTARIO (REF. S. 508/23).</t>
  </si>
  <si>
    <t>FERNANDEZ SAGASTI: REPRODUCE PROYECTO DE LEY QUE INSTITUYE LA PRIMERA SEMANA DEL MES DE MARZO DE CADA AÑO COMO "SEMANA NACIONAL DE LUCHA CONTRA LA DISCRIMINACIÓN POR OBESIDAD O SOBREPESO"(REF. S. 506/23).</t>
  </si>
  <si>
    <t xml:space="preserve">FERNANDEZ SAGASTI: REPRODUCE PROYECTO DE LEY QUE DESIGNA CON LOS NOMBRES "HÉROES DE MALVINAS", "MALVINAS ARGENTINAS" Y "CURVA DE LA SOBERANÍA" A DIVERSOS TRAMOS DE LA RUTA NACIONAL N° 7, DE LA PROV. DE MENDOZA, Y OTRAS CUESTIONES CONEXAS (REF. S. 715/23).
</t>
  </si>
  <si>
    <t>FERNANDEZ SAGASTI: REPRODUCE PROYECTO DE LEY QUE MODIFICA DIVERSAS LEYES RESPECTO DE LA INHIBICION, RECUSACION Y EXCUSACION DE JUECES EN CASO DE TENER UNA POSICION CONTRARIA A LA PERSPECTIVA DE GENERO. (REF. S. 517/23).</t>
  </si>
  <si>
    <t>FERNANDEZ SAGASTI: REPRODUCE PROYECTO DE LEY QUE CREA CENTROS DE LACTANCIA EN ESPACIOS PÚBLICOS (REF. S. 1602/23).</t>
  </si>
  <si>
    <t>FERNANDEZ SAGASTI: REPRODUCE PROYECTO DE LEY QUE CREA EL PROGRAMA "CENTROS DE DESARROLLO INFANTIL EN LAS INSTITUCIONES DE EDUCACION SUPERIOR. (REF. S.501/23)</t>
  </si>
  <si>
    <t xml:space="preserve"> 47 21/08/2025 -</t>
  </si>
  <si>
    <t>FERNANDEZ SAGASTI: REPRODUCE PROYECTO DE LEY QUE MODIFICA SU SIMILAR 23.154- VIÑAS Y FRUTALES-, RESPECTO DE LOS DERECHOS LABORALES Y A LA SEGURIDAD SOCIAL. (REF. S.520/23)</t>
  </si>
  <si>
    <t>FERNANDEZ SAGASTI: REPRODUCE PROYECTO DE LEY QUE CREA EL PROGRAMA NACIONAL ADULTOS MAYORES QUE CUIDAN. (REF. S.515/23)</t>
  </si>
  <si>
    <t>FERNANDEZ SAGASTI: REPRODUCE PROYECTO DE LEY DE EDUCACIÓN ALIMENTARIA NUTRICIONAL Y SOBERANÍA ALIMENTARIA. (REF. S.519/23)</t>
  </si>
  <si>
    <t>FERNANDEZ SAGASTI: REPRODUCE PROYECTO DE LEY SOBRE LICENCIA POR TRATAMIENTOS MEDICOS PROLONGADOS DE NIÑOS, NIÑAS O ADOLESCENTES A CARGO. (REF. S.504/23)</t>
  </si>
  <si>
    <t>FERNANDEZ SAGASTI: REPRODUCE PROYECTO DE LEY SOBRE SIMBOLOS NACIONALES DE LA REPUBLICA ARGENTINA. (REF. S.1069/23)</t>
  </si>
  <si>
    <t>FERNANDEZ SAGASTI: REPRODUCE PROYECTO DE LEY QUE EXTIENDE POR EL TERMINO DE TRES (3) AÑOS LOS BENEFICIOS OTORGADOS A LOS PRODUCTORES VITIVINÍCOLAS, MEDIANTE LEY N° 27.227. (REF. S.521/23)</t>
  </si>
  <si>
    <t>FERNANDEZ SAGASTI: REPRODUCE PROYECTO DE LEY QUE DECLARA FIESTA NACIONAL AL "FESTIVAL DEL CABALLO" QUE SE REALIZA ANUALMENTE EN LA LOCALIDAD DE SALTO DE LAS ROSAS, PROV. DE MENDOZA. (REF. S.1775/23)</t>
  </si>
  <si>
    <t>FERNANDEZ SAGASTI: REPRODUCE PROYECTO DE LEY QUE OTORGA JERARQUIA CONSTITUCIONAL, EN LOS TERMINOS DEL ART. 75 INC. 22 DE LA C.N., A LA CONVENCION INTERNACIONAL PARA LA PROTECCION DE TODAS LAS PERSONAS CONTRA LAS DESAPARICIONES FORZADAS, ADOPTADA POR LA ONU, EN NUEVA YORK, ESTADOS UNIDOS DE AMERICA, EL 20 DE DICIEMBRE DE 2006. (REF. S. 397/23)</t>
  </si>
  <si>
    <t>FERNANDEZ SAGASTI: REPRODUCE PROYECTO DE LEY DE ABORDAJE INTEGRAL DEL LINFEDEMA. (REF. S. 505/23)</t>
  </si>
  <si>
    <t>FERNANDEZ SAGASTI: REPRODUCE PROYECTO DE LEY QUE ADHIERE A LA DECLARACION DE LAS NACIONES UNIDAS SOBRE LOS DERECHOS DE LOS CAMPESINOS Y DE OTRAS PERSONAS QUE TRABAJAN EN LAS ZONAS RURALES, APROBADA POR RES. 73/165 DE LA ASAMBLEA GENERAL, EL 17 DE DICIEMBRE DE 2018 (REF. S. 1596/23).</t>
  </si>
  <si>
    <t>FERNANDEZ SAGASTI: REPRODUCE PROYECTO DE LEY QUE MODIFICA EL ART. 1 DE SU SIMILAR 23.272 - INTEGRACION DE LA PAMPA A LA REGION PATAGONICA-, RESPECTO DE INCLUIR AL DEPARTAMENTO DE MALARGÜE EN LA MENCIONADA REGION. (REF. S. 507/23).</t>
  </si>
  <si>
    <t>FERNANDEZ SAGASTI: REPRODUCE PROYECTO DE LEY SOBRE RÉGIMEN SIMPLIFICADO ESPECIAL DE SEGURIDAD SOCIAL PARA DEPORTISTAS (REF. S. 513/23).</t>
  </si>
  <si>
    <t>FERNANDEZ SAGASTI: REPRODUCE PROYECTO DE LEY QUE INSTITUYE EL 24 DE AGOSTO DE CADA AÑO COMO "DIA DEL PADRE", EN HONOR A LA PATERNIDAD DEL GRAL. JOSE DE SAN MARTIN (REF. S. 516/23).</t>
  </si>
  <si>
    <t>FERNANDEZ SAGASTI: REPRODUCE PROYECTO DE LEY QUE DECLARA A LA PROV. DE MENDOZA COMO "CAPITAL NACIONAL DE LA INDUSTRIA DEL CONOCIMIENTO (REF. S. 509/23).</t>
  </si>
  <si>
    <t>FERNANDEZ SAGASTI: REPRODUCE PROYECTO DE LEY QUE CREA EL RÉGIMEN ESPECIAL DE CONTRATO DE TRABAJO PARA PERSONAS TRABAJADORAS DE PLATAFORMAS DIGITALES (REF. S. 532/23).</t>
  </si>
  <si>
    <t>ZIMMERMANN Y OTROS: PROYECTO DE LEY QUE CREA EL "FONDO ARGENTINO DE DESARROLLO REGIONAL" (F.A.D.E.R.).</t>
  </si>
  <si>
    <t xml:space="preserve"> 09/06/2025 - 17/06/2025 -</t>
  </si>
  <si>
    <t xml:space="preserve"> ZIMMERMANN, VICTOR - KRONEBERGER, DANIEL RICARDO - BLANCO, PABLO DANIEL - DE ANGELI, ALFREDO LUIS - OLALLA, STELLA MARIS - FAMA, FLAVIO SERGIO - TERENZI, EDITH ELIZABETH - VISCHI, EDUARDO ALEJANDRO - VALENZUELA, MERCEDES GABRIELA -</t>
  </si>
  <si>
    <t>17/06/2025</t>
  </si>
  <si>
    <t>ZIMMERMANN Y OTROS: PROYECTO DE LEY SOBRE REGIMEN DE PROMOCIÓN PARA LA PRODUCCION DE COMBUSTIBLES A PARTIR DE DESECHOS PLASTICOS U OTROS RESIDUOS.</t>
  </si>
  <si>
    <t xml:space="preserve"> ZIMMERMANN, VICTOR - VALENZUELA, MERCEDES GABRIELA - OLALLA, STELLA MARIS -</t>
  </si>
  <si>
    <t>HUALA: REPRODUCE PROYECTO DE LEY DE JORNADA ANUAL DE CONCIENTIZACION SOBRE BULLYING, CIBERBULLYING Y NO DISCRIMINACION. (REF. S. 1298/22).</t>
  </si>
  <si>
    <t xml:space="preserve"> 46 21/08/2025 -</t>
  </si>
  <si>
    <t xml:space="preserve"> 04/06/2025 -</t>
  </si>
  <si>
    <t xml:space="preserve"> 12/06/2025 - 04/03/2026 -</t>
  </si>
  <si>
    <t>13/06/2025</t>
  </si>
  <si>
    <t>CREXELL: PROYECTO DE LEY QUE MODIFICA SU SIMILAR 26.862 - ACCESO INTEGRAL A LAS TECNICAS MEDICO ASISTENCIALES DE REPRODUCCCION MEDICAMENTE ASISTIDA -, RESPECTO A LA PROTECCION DEL EMBRION NO IMPLANTADO.</t>
  </si>
  <si>
    <t xml:space="preserve"> CREXELL, CARMEN LUCILA -</t>
  </si>
  <si>
    <t>CREXELL: PROYECTO DE LEY QUE MODIFICA SU SIMILAR 11.179 - CODIGO PENAL DE LA NACION -, RESPECTO DE INCORPORAR EL DELITO INFORMATICO.</t>
  </si>
  <si>
    <t>CREXELL: PROYECTO DE LEY QUE INCORPORA EL ART. 139 TER DE SU SIMILAR 11.179 - CÓDIGO PENAL DE LA NACIÓN-, RESPECTO DE TIPIFICAR EL DELITO DE SUPLANTACIÓN DIGITAL DE LA IDENTIDAD.</t>
  </si>
  <si>
    <t>DOÑATE: PROYECTO DE LEY QUE CREA EL REGIMEN ESPECIAL DE RESIDENCIA TRANSITORIA NOMADA DIGITAL.</t>
  </si>
  <si>
    <t>DOÑATE: PROYECTO DE LEY QUE CREA EL PROGRAMA NACIONAL IDEAR FUTURO.</t>
  </si>
  <si>
    <t>VIGO: REPRODUCE PROYECTO DE LEY DE EQUIDAD PARA MUJERES EN EL FUTBOL PROFESIONAL. (REF. S. 416/23).</t>
  </si>
  <si>
    <t xml:space="preserve"> 03/06/2025 -</t>
  </si>
  <si>
    <t>VIGO: PROYECTO DE LEY QUE INCORPORA EL INCISO J) AL ART. 6 DE SU SIMILAR 26.485 DE PROTECCION INTEGRAL DE LAS MUJERES - RESPECTO DE LA VIOLENCIA DEPORTIVA CONTRA LAS MUJERES.</t>
  </si>
  <si>
    <t>DURÉ Y OTRAS: PROYECTO DE RESOLUCION QUE CITA AL MINISTRO DE JUSTICIA, DR. MARIANO CÚNEO LIBARONA, DE CONFORMIDAD AL ART. 71 DE LA C.N. Y EL ART. 214 DEL REGLAMENTO DEL H. SENADO, A FIN DE BRINDAR INFORME SOBRE LA ELIMINACION DE DIVERSOS PROGRAMAS VINCULADOS A POLITICAS DE GENERO Y DERECHOS HUMANOS.</t>
  </si>
  <si>
    <t xml:space="preserve"> 45 21/08/2025 -</t>
  </si>
  <si>
    <t xml:space="preserve"> 02/06/2025 -</t>
  </si>
  <si>
    <t xml:space="preserve"> GARCÍA LARRABURU, SILVINA MARCELA - DURÉ, MARÍA EUGENIA - SAPAG, SILVIA ESTELA  - CORA, STEFANIA - GIMÉNEZ NAVARRO, MARÍA CELESTE - KIRCHNER, ALICIA MARGARITA ANTONIA - GONZÁLEZ, MARÍA TERESA MARGARITA - MENDOZA, SANDRA MARIELA - PILATTI VERGARA, MARÍA INÉS - MOISES, MARÍA CAROLINA -</t>
  </si>
  <si>
    <t>DURE: PROYECTO DE LEY QUE CREA EL PROGRAMA PARA EL APOYO URGENTE Y LA ASISTENCIA INTEGRAL INMEDIATA ANTE CASOS DE VIOLENCIA EXTREMAS POR MOTIVOS DE GENERO (PAU).</t>
  </si>
  <si>
    <t>VISCHI: REPRODUCE PROYECTO DE LEY QUE INSTITUYE EL 19 DE DICIEMBRE DE CADA AÑO COMO "DIA DEL NARRADOR/RA ORAL O CUENTACUENTOS (REF. S. 1718/22).</t>
  </si>
  <si>
    <t xml:space="preserve"> 30/05/2025 -</t>
  </si>
  <si>
    <t>02/06/2025</t>
  </si>
  <si>
    <t>SAPAG: PROYECTO DE LEY QUE MODIFICA SU SIMILAR 24.013 - EMPLEO-, RESPECTO DE GARANTIZAR QUE EL MONTO DEL SALARIO MINIMO VITAL Y MOVIL SEA SUPERIOR AL VALOR DE LA CANASTA BASICA TOTAL.</t>
  </si>
  <si>
    <t xml:space="preserve"> 44 21/08/2025 -</t>
  </si>
  <si>
    <t xml:space="preserve"> SAPAG, SILVIA ESTELA  -</t>
  </si>
  <si>
    <t>BENSUSAN: REPRODUCE PROYECTO DE LEY QUE DECLARA FIESTA NACIONAL A LA "FIESTA DEL TERNERO, LA YERRA Y EL PIAL", EN LA LOCALIDAD DE GRAL. ACHA, PROV. DE LA PAMPA. (REF. S. 1868/22)</t>
  </si>
  <si>
    <t xml:space="preserve"> 29/05/2025 -</t>
  </si>
  <si>
    <t xml:space="preserve"> 02/07/2025 -  -</t>
  </si>
  <si>
    <t xml:space="preserve"> 02/06/2025 - 04/03/2026 -</t>
  </si>
  <si>
    <t>05/06/2025</t>
  </si>
  <si>
    <t>02/07/2025</t>
  </si>
  <si>
    <t xml:space="preserve">PILATTI VERGARA: PROYECTO DE RESOLUCION QUE CITA AL MINISTRO DE SALUD, DR. MARIO IVAN LUGONES, DE CONFORMIDAD AL ART. 71 DE LA C.N. Y EL ART. 214 DEL REGLAMENTO DEL H. SENADO, A FIN DE BRINDAR EXPLICACIONES SOBRE LA SITUACION DEL HOSPITAL DE PEDIATRIA "PROF. DR. JUAN P. GARRAHAN".
</t>
  </si>
  <si>
    <t xml:space="preserve"> 02/06/2025 - 05/03/2026 -</t>
  </si>
  <si>
    <t>OLIVERA LUCERO: PROYECTO DE LEY QUE ESTABLECE LA OBLIGATORIEDAD DE INCORPORAR EL SISTEMA BRAILLE EN ENVASES DE MEDICAMENTOS.</t>
  </si>
  <si>
    <t xml:space="preserve"> 28/05/2025 -</t>
  </si>
  <si>
    <t>OLIVERA LUCERO: PROYECTO DE LEY QUE CREA EL PROGRAMA DE TALLERES DE OFICIOS MINEROS EN ESCUELAS SECUNDARIAS PÚBLICAS, SITUADAS EN LOCALIDADES DE ZONAS MINERAS.</t>
  </si>
  <si>
    <t xml:space="preserve"> 43 21/08/2025 -</t>
  </si>
  <si>
    <t>LEWANDOWSKY: PROYECTO DE LEY QUE DECLARA LA EMERGENCIA AMBIENTAL, ECONOMICA Y HABITACIONAL, POR EL PLAZO DE (90) DIAS, PRORROGABLE POR  IGUAL PLAZO EN LAS LOCALIDADES, MUNICIPIOS Y COMUNAS DEL NORTE DE LA PROV. DE SANTA FE.</t>
  </si>
  <si>
    <t>GARCIA LARRABURU: PROYECTO DE LEY QUE MODIFICA EL ART. 27 DE SU SIMILAR 24.156 -  ADMINISTRACION FINANCIERA Y DE LOS SISTEMAS DE CONTROL DEL SECTOR PUBLICO NACIONAL Y SU REGLAMENTACIÓN -, RESPECTO DE LIMITAR LA PRÓRROGA PRESUPUESTARIA.</t>
  </si>
  <si>
    <t xml:space="preserve"> GARCÍA LARRABURU, SILVINA MARCELA - GONZÁLEZ, MARÍA TERESA MARGARITA - GIMÉNEZ, NORA DEL VALLE -</t>
  </si>
  <si>
    <t>LOSADA: PROYECTO DE LEY QUE MODIFICA EL CODIGO PENAL DE LA NACION RESPECTO DE INCORPORAR LA FIGURA DE CORRUPCION DE MENORES CON FINES DELICTIVOS.</t>
  </si>
  <si>
    <t>LOUSTEAU: PROYECTO DE RESOLUCION QUE EXPRESA PREOCUPACION POR LAS NUMEROSAS VACANTES EXISTENTES EN LOS CARGOS DEL PODER JUDICIAL DE LA NACION Y DEL MINISTERIO PUBLICO, Y OTRAS CUESTIONES CONEXAS.</t>
  </si>
  <si>
    <t>LINARES: PROYECTO DE RESOLUCION QUE CITA AL SECRETARIO DE INTELIGENCIA DEL ESTADO, SR. SERGIO NEIFFERT, EN LOS TERMINOS DEL ART. 71 DE LA C.N. Y EL ART. 214 DEL REGLAMENTO DE LA H. CAMARA, A FIN DE BRINDAR EXPLICACIONES SOBRE EL PLAN DE INTELIGENCIA NACIONAL (PIN).</t>
  </si>
  <si>
    <t xml:space="preserve"> 42 21/08/2025 -</t>
  </si>
  <si>
    <t xml:space="preserve"> 27/05/2025 -</t>
  </si>
  <si>
    <t xml:space="preserve">LEAVY Y OTROS: PROYECTO DE LEY QUE MODIFICA SU SIMILAR 23.966 -IMPUESTOS-, RESPECTO DE REASIGNAR LOS RECURSOS RECAUDADOS EN VIRTUD DEL IMPUESTO A LOS COMBUSTIBLES Y AL DIÓXIDO DE CARBONO.
</t>
  </si>
  <si>
    <t xml:space="preserve"> GIMÉNEZ, NORA DEL VALLE - LÓPEZ, CÁNDIDA CRISTINA - LEAVY, SERGIO NAPOLEÓN - KIRCHNER, ALICIA MARGARITA ANTONIA - DE PEDRO, EDUARDO ENRIQUE - SAPAG, SILVIA ESTELA  - FERNÁNDEZ SAGASTI, ANABEL - PILATTI VERGARA, MARÍA INÉS - DURÉ, MARÍA EUGENIA - REJAL, JESÚS FERNANDO - RECALDE, MARIANO - GARCÍA LARRABURU, SILVINA MARCELA - GONZÁLEZ, MARÍA TERESA MARGARITA -</t>
  </si>
  <si>
    <t>GIMENEZ: PROYECTO DE LEY QUE INSTITUYE EL DIA 21 DE ABRIL DE CADA AÑO, COMO "DIA NACIONAL DEL PASO A LA INMORTALIDAD DEL PAPA FRANCISCO".</t>
  </si>
  <si>
    <t xml:space="preserve"> GIMÉNEZ, NORA DEL VALLE -</t>
  </si>
  <si>
    <t>JUEZ: REPRODUCE PROYECTO DE LEY QUE CREA UN SISTEMA INTEGRAL DE ATENCIÓN Y TRATAMIENTO A PERSONAS CON DISCAPACIDAD MÚLTIPLE. (REF. S. 604/23)</t>
  </si>
  <si>
    <t xml:space="preserve"> 26/05/2025 -</t>
  </si>
  <si>
    <t xml:space="preserve"> JUEZ, LUIS ALFREDO -</t>
  </si>
  <si>
    <t>PAOLTRONI: PROYECTO DE LEY SOBRE PROMOCIÓN Y FACILITACIÓN DE LA GENERACIÓN DISTRIBUIDA EN EL MERCADO ELÉCTRICO.</t>
  </si>
  <si>
    <t>FERNANDEZ SAGASTI: PROYECTO DE LEY QUE GARANTIZA EL FINANCIAMIENTO DE LAS UNIVERSIDADES NACIONALES.</t>
  </si>
  <si>
    <t xml:space="preserve"> 23/05/2025 -</t>
  </si>
  <si>
    <t>ROMERO: PROYECTO DE LEY QUE ESTABLECE UN ORDENAMIENTO DE LOS CONVENIOS INTERNACIONALES Y DE LOS TRATADOS INTERPROVINCIALES DE ACUERDO A LOS ARTS. 124 Y 125 DE LA CONSTITUCION NACIONAL.</t>
  </si>
  <si>
    <t xml:space="preserve"> 41 21/08/2025 -</t>
  </si>
  <si>
    <t xml:space="preserve"> 22/05/2025 -</t>
  </si>
  <si>
    <t>PILATTI VERGARA Y OTROS: PROYECTO DE RESOLUCION QUE CITA A LA MINISTRA DE SEGURIDAD DE LA NACION, DRA. PATRICIA BULLRICH, CONFORME A LO ESTABLECIDO EN EL ART. 71 DE LA CN Y EN EL ART. 214 DEL REGLAMENTO DE LA H CAMARA, A FIN DE BRINDAR EXPLICACIONES SOBRE EL TRASLADO DE 19 PERSONAS CONDENADAS POR DELITOS DE LESA HUMANIDAD A LA UNIDAD 34 DEL SERVICIO PENITENCIARIO FEDERAL, EN CAMPO DE MAYO.</t>
  </si>
  <si>
    <t xml:space="preserve"> KIRCHNER, ALICIA MARGARITA ANTONIA - PILATTI VERGARA, MARÍA INÉS - RECALDE, MARIANO - GIMÉNEZ, NORA DEL VALLE - CORA, STEFANIA - DURÉ, MARÍA EUGENIA - GARCÍA LARRABURU, SILVINA MARCELA - DE PEDRO, EDUARDO ENRIQUE - MENDOZA, SANDRA MARIELA - PARRILLI, OSCAR ISIDRO - GONZÁLEZ, MARÍA TERESA MARGARITA -</t>
  </si>
  <si>
    <t>PAOLTRONI: PROYECTO DE LEY QUE DECLARA ZONA DE EMERGENCIA Y DE SITUACION DE CATASTROFE, POR EL TERMINO DE 180 DIAS, A DIFERENTES DEPARTAMENTOS DE LA PROV. DE FORMOSA.</t>
  </si>
  <si>
    <t xml:space="preserve"> 40 21/08/2025 -</t>
  </si>
  <si>
    <t xml:space="preserve"> 20/05/2025 -</t>
  </si>
  <si>
    <t>22/05/2025</t>
  </si>
  <si>
    <t>BENSUSAN: PROYECTO DE LEY QUE MODIFICA SU SIMILAR 24.241 - SISTEMA INTEGRADO DE JUBILACIONES Y PENSIONES -, RESPECTO DE GARANTIZAR UNA COBERTURA PREVISIONAL UNIVERSAL EN LA VEJEZ E INCORPORAR UNA NUEVA FÓRMULA DE ACTUALIZACIÓN DE HABERES.</t>
  </si>
  <si>
    <t>KRONEBERGER Y OTROS: PROYECTO DE LEY QUE LIMITA EL USO DE DISPOSITIVOS DIGITALES DENTRO DEL AMBITO ESCOLAR, SEA PRIVADO O PUBLICO, EN TODOS LOS NIVELES EDUCATIVOS.</t>
  </si>
  <si>
    <t xml:space="preserve"> ZIMMERMANN, VICTOR - KRONEBERGER, DANIEL RICARDO - BLANCO, PABLO DANIEL - FAMA, FLAVIO SERGIO -</t>
  </si>
  <si>
    <t>ZIMMERMANN Y OTROS: PROYECTO DE LEY SOBRE AGRAVAMIENTO DE LAS PENAS EN DELITOS EN PERJUICIO DE ESTABLECIMIENTOS EDUCATIVOS, DE SALUD, O EDIFICIOS PUBLICOS.</t>
  </si>
  <si>
    <t xml:space="preserve"> 38 21/08/2025 -</t>
  </si>
  <si>
    <t xml:space="preserve"> 16/05/2025 -</t>
  </si>
  <si>
    <t xml:space="preserve"> ZIMMERMANN, VICTOR - VALENZUELA, MERCEDES GABRIELA - SUÁREZ, RODOLFO ALEJANDRO - OLALLA, STELLA MARIS - TERENZI, EDITH ELIZABETH - JURI, MARIANA -</t>
  </si>
  <si>
    <t>ABAD: PROYECTO DE LEY QUE INCORPORA EL ART. 41 SEXTIES DEL LIBRO PRIMERO, TITULO V DEL CÓDIGO PENAL DE LA NACIÓN, RESPECTO DE LAS PENAS POR DELITOS COMETIDOS EN PERJUICIO DEL PERSONAL SANITARIO, DOCENTE Y/O TRABAJADORES DE SERVICIO DE TRANSPORTE PÚBLICO.</t>
  </si>
  <si>
    <t xml:space="preserve"> 15/05/2025 -</t>
  </si>
  <si>
    <t>DURE Y OTROS: PROYECTO DE RESOLUCION QUE CITA PARA SU INTERPELACIÓN AL MINISTRO DE LA NACION LIC. LUIS ANDRES CAPUTO, DE CONFORMIDAD AL ART. 71 DE LA C.N. Y EL ART. 214 DEL REGLAMENTO DE LA H. CAMARA.</t>
  </si>
  <si>
    <t xml:space="preserve"> GARCÍA LARRABURU, SILVINA MARCELA - LINARES, CARLOS ALBERTO - DURÉ, MARÍA EUGENIA - GONZÁLEZ, MARÍA TERESA MARGARITA - PARRILLI, OSCAR ISIDRO - GIMÉNEZ, NORA DEL VALLE - MOISES, MARÍA CAROLINA -</t>
  </si>
  <si>
    <t>LOUSTEAU: PROYECTO DE LEY QUE DISPONE LA CONSTRUCCION DE UN MONUMENTO EN HOMENAJE A LA MEMORIA DE JORGE MARIO BERGOGLIO, EL PAPA FRANCISCO, A EMPLAZARSE EN EL CORREDOR QUE VA DE PLAZA DE MAYO A PLAZA JUAN MARTIN DE PUEYRREDON, EN CABA.</t>
  </si>
  <si>
    <t>FERNANDEZ SAGASTI: PROYECTO DE LEY QUE DECLARA LA EMERGENCIA NACIONAL EN DISCAPACIDAD HASTA EL 31 DE DICIEMBRE DE 2027.</t>
  </si>
  <si>
    <t xml:space="preserve"> 37 21/08/2025 -</t>
  </si>
  <si>
    <t xml:space="preserve"> 14/05/2025 -</t>
  </si>
  <si>
    <t>GIMENEZ: REPRODUCE PROYECTO DE LEY QUE INSTITUYE EL 18 DE SEPTIEMBRE COMO DIA NACIONAL DEL TESTIGO EN CAUSAS DE LESA HUMANIDAD, EN MEMORIA DE LA DESAPARICION FORZADA DE JORGE JULIO LOPEZ. (REF. S. 2131/23)</t>
  </si>
  <si>
    <t xml:space="preserve"> 13/05/2025 -</t>
  </si>
  <si>
    <t>GIMENEZ: PROYECTO DE LEY QUE INSTITUYE EL DIA 30 DE MARZO DE CADA AÑO, COMO "DIA NACIONAL DE LA MUJER TABACALERA"</t>
  </si>
  <si>
    <t>GIMENEZ: PROYECTO DE LEY QUE CREA LA FIGURA PROCESAL DEL AMICUS CURIAE.</t>
  </si>
  <si>
    <t>GIMENEZ: PROYECTO DE LEY QUE DECLARA A LA PROVINCIA DE SALTA COMO CAPITAL DEL PATRIMONIO LINGÜÍSTICO Y CULTURAL DE LOS PUEBLOS ORIGINARIOS DEL NORTE GRANDE.</t>
  </si>
  <si>
    <t>GIMENEZ: PROYECTO DE LEY QUE MODIFICA EL ART. 64 DE SU SIMILAR 20.337 DE COOPERATIVAS, RESPECTO A LAS LIMITACIONES PARA INTEGRAR EL CONSEJO DE ADMINISTRACION.</t>
  </si>
  <si>
    <t>GIMENEZ: PROYECTO DE LEY SOBRE AMPLIACIÓN DE LA SEGURIDAD SOCIAL DE LOS TRABAJADORES RURALES TEMPORARIOS Y PERMANENTES DISCONTINUOS EN EL ÁMBITO DE LAS PYMES DE LAS ECONOMÍAS REGIONALES.</t>
  </si>
  <si>
    <t>GIMENEZ: PROYECTO DE LEY QUE MODIFICA SU SIMILAR 27.108 - DIA DEL EMPRESARIO NACIONAL-  RESPECTO DE MODIFICAR LA DENOMINACION DE LA MISMA.</t>
  </si>
  <si>
    <t xml:space="preserve"> 36 21/08/2025 -</t>
  </si>
  <si>
    <t>AVILA: PROYECTO DE LEY QUE INCORPORA EL ART. 4 BIS A SU SIMILAR 25.415- PROGRAMA DE DETECCION DE LA HIPOACUSIA-, RESPECTO DE INCORPORAR DIVERSAS ACCIONES EN EL AMBITO EDUCATIVO.</t>
  </si>
  <si>
    <t xml:space="preserve"> 35 21/08/2025 -</t>
  </si>
  <si>
    <t xml:space="preserve"> 08/05/2025 -</t>
  </si>
  <si>
    <t xml:space="preserve"> 09/05/2025 -</t>
  </si>
  <si>
    <t>09/05/2025</t>
  </si>
  <si>
    <t>OLIVERA LUCERO: PROYECTO DE LEY DE REMOCION DE LOS CABLES AEREOS POR PARTE DE EMPRESAS DE SERVICIOS DE TELECOMUNICACIONES Y TRANSMISION DE DATOS, EN AREAS PUBLICAS, PRIVADAS O MIXTAS.</t>
  </si>
  <si>
    <t>ROMERO: PROYECTO DE LEY QUE SUSTITUYE EL ART. 21 DE DCTO. LEY 1.285/58 Y S/M - RESPECTO DE AMPLIAR LOS MIEMBROS DE LA CORTE SUPREMA DE JUSTICIA.</t>
  </si>
  <si>
    <t xml:space="preserve">RODAS: PROYECTO DE LEY QUE ESTABLECE UN RÉGIMEN ESPECIAL DE REINTEGRO DE DERECHOS DE EXPORTACIÓN POR EMERGENCIA AGROPECUARIA. </t>
  </si>
  <si>
    <t xml:space="preserve"> 34 21/08/2025 -</t>
  </si>
  <si>
    <t xml:space="preserve"> 07/05/2025 -</t>
  </si>
  <si>
    <t xml:space="preserve"> RODAS, ANTONIO JOSÉ -</t>
  </si>
  <si>
    <t>REJAL Y OTROS: PROYECTO DE LEY QUE CREA EL PROGRAMA DE ALERTAS DE SISMOLOGÍA -SINASI-</t>
  </si>
  <si>
    <t>LEWANDOWSKI: PROYECTO DE RESOLUCION QUE CITA AL MINISTRO DE SALUD, MARIO LUGONES, DE CONFORMIDAD AL ART. 71 DE LA C.N. Y EL ART. 214 DEL REGLAMENTO DE LA H. CAMARA, A FIN DE BRINDAR EXPLICACIONES SOBRE LAS PENSIONES NO CONTRIBUTIVAS POR INVALIDEZ LABORAL Y LA DEL DIRECTOR EJECUTIVO DE LA AGENCIA NACIONAL DE DISCAPACIDAD (ANDIS) DR. DIEGO ORLANDO SPAGNUOLO.</t>
  </si>
  <si>
    <t xml:space="preserve"> 09/05/2025 - 05/03/2026 -</t>
  </si>
  <si>
    <t>LEWANDOWSKI: PROYECTO DE RESOLUCION QUE MODIFICA EL ART. 60 DEL REGLAMENTO DE LA CAMARA DE SENADORES DE LA NACION, POR EL QUE SE CREA LA COMISION DE DISCAPACIDAD.</t>
  </si>
  <si>
    <t xml:space="preserve">VIGO: PROYECTO DE LEY QUE MODIFICA EL CÓDIGO PENAL DE LA NACIÓN PARA ESTABLECER LA IMPRESCRIPTIBILIDAD DE LA ACCIÓN PENAL, EN LOS CASOS DE ABUSO SEXUAL COMETIDOS SOBRE MENORES DE EDAD. </t>
  </si>
  <si>
    <t xml:space="preserve">VIGO: PROYECTO DE LEY QUE DECLARA LA APLICACIÓN DE LOS PRINCIPIOS DE NO REVERSIÓN DE LOS DERECHOS HUMANOS Y DE PROGRESIVIDAD DE LOS DERECHOS HUMANOS. </t>
  </si>
  <si>
    <t>MOISES: PROYECTO DE LEY DE FICHA LIMPIA PARA FUNCIONARIOS.</t>
  </si>
  <si>
    <t>GARCIA LARRABURU Y CORA: PROYECTO DE LEY QUE CREA EL PROGRAMA DE INCENTIVOS A LA PREVENTA DE SERVICIOS TURISTICOS NACIONALES "PREVIAJE TEMPORADA BAJA".</t>
  </si>
  <si>
    <t xml:space="preserve"> GARCÍA LARRABURU, SILVINA MARCELA - CORA, STEFANIA - MENDOZA, SANDRA MARIELA - CORPACCI, LUCÍA BENIGNA - GIMÉNEZ, NORA DEL VALLE - GIMÉNEZ NAVARRO, MARÍA CELESTE - GONZÁLEZ, MARÍA TERESA MARGARITA - PILATTI VERGARA, MARÍA INÉS -</t>
  </si>
  <si>
    <t xml:space="preserve">ABAD:  PLANTEA CUESTION DE PRIVILEGIO. </t>
  </si>
  <si>
    <t xml:space="preserve">  07/05/2025 -</t>
  </si>
  <si>
    <t>08/05/2025</t>
  </si>
  <si>
    <t xml:space="preserve"> PAOLTRONI: PLANTEA CUESTION DE PRIVILEGIO. </t>
  </si>
  <si>
    <t>LOSADA: PLANTEA CUESTION DE PRIVILEGIO</t>
  </si>
  <si>
    <t>PLANTEA CUESTION DE PRIVILEGIO.</t>
  </si>
  <si>
    <t>LEAVY: PLANTEA CUESTION DE PRIVILEGIO</t>
  </si>
  <si>
    <t>MAYANS Y OTRAS: PROYECTO DE RESOLUCION QUE CITA PARA SU INTERPELACIÓN AL MINISTRO DE LA NACION LIC. LUIS ANDRES CAPUTO, DE CONFORMIDAD AL ART. 71 DE LA C.N. Y EL ART. 214 DEL REGLAMENTO DE LA H. CAMARA.</t>
  </si>
  <si>
    <t xml:space="preserve"> 06/05/2025 -</t>
  </si>
  <si>
    <t xml:space="preserve"> MAYANS, JOSÉ MIGUEL ÁNGEL - DI TULLIO, JULIANA - FERNÁNDEZ SAGASTI, ANABEL -</t>
  </si>
  <si>
    <t>MAYANS Y OTRAS: PROYECTO DE RESOLUCION QUE CITA A LA SECRETARIA DE LA PRESIDENCIA DE LA NACION, KARINA ELIZABETH MILEI, DE CONFORMIDAD AL ART. 71 DE LA C.N. Y EL ART. 214 DEL REGLAMENTO DE LA H. CAMARA.</t>
  </si>
  <si>
    <t xml:space="preserve"> 33 21/08/2025 -</t>
  </si>
  <si>
    <t>MAYANS Y OTROS: PROYECTO DE RESOLUCION QUE SOLICITA LA REAPERTURA DE LA PARITARIA REQUERIDA POR LA ASOCIACION DEL PERSONAL LEGISLATIVO.</t>
  </si>
  <si>
    <t xml:space="preserve"> 09/05/2025 - 16/05/2025 -</t>
  </si>
  <si>
    <t xml:space="preserve"> DI TULLIO, JULIANA - MAYANS, JOSÉ MIGUEL ÁNGEL - FERNÁNDEZ SAGASTI, ANABEL - RODAS, ANTONIO JOSÉ -</t>
  </si>
  <si>
    <t>16/05/2025</t>
  </si>
  <si>
    <t>LINARES: REPRODUCE PROYECTO DE LEY QUE CREA EL "ESTIMULO DE REINSERCIÓN DE PERSONAS GESTANTES AL DEPORTE". (REF. S. 642/23 )</t>
  </si>
  <si>
    <t>LINARES: REPRODUCE PROYECTO DE LEY QUE ESTABLECE LA IMPLEMENTACIÓN DEL EXAMEN OFTALMOLÓGICO OBLIGATORIO A NIÑOS Y NIÑAS PARA PREVENCION TEMPRANA. (REF. S. 347/23).</t>
  </si>
  <si>
    <t>MOISES Y ANDRADA: PROYECTO DE LEY DE INCENTIVOS AL TURISMO NACIONAL.</t>
  </si>
  <si>
    <t xml:space="preserve"> MOISES, MARÍA CAROLINA - ANDRADA, GUILLERMO EDUARDO -</t>
  </si>
  <si>
    <t xml:space="preserve">JURI: PROYECTO DE LEY QUE INSTITUYE EL DIA 19 DE NOVIEMBRE DE CADA AÑO COMO "DIA NACIONAL DE LA MUJER EMPRENDEDORA". </t>
  </si>
  <si>
    <t xml:space="preserve"> JURI, MARIANA -</t>
  </si>
  <si>
    <t>MOISES Y ANDRADA: PROYECTO DE LEY QUE DECLARA EMERGENCIA TURISTICA NACIONAL, POR EL PLAZO DE 365 DÍAS.</t>
  </si>
  <si>
    <t xml:space="preserve"> 05/05/2025 -</t>
  </si>
  <si>
    <t>DOÑATE: PROYECTO DE LEY DE PROTECCION DE DATOS PERSONALES.</t>
  </si>
  <si>
    <t>MOISES Y ANDRADA: PROYECTO DE LEY QUE DECLARA BIEN HISTÓRICO ARTÍSTICO DENTRO DEL PATRIMONIO CULTURAL NACIONAL, EN LOS TÉRMINOS DE LA LEY 25.197, A LOS INSTRUMENTOS MUSICALES ANDINOS: "ANATA", "REKE", "PIL PIL" Y CAJA DE COPLA".</t>
  </si>
  <si>
    <t xml:space="preserve"> 30/04/2025 -</t>
  </si>
  <si>
    <t>MOISES Y ANDRADA: PROYECTO DE LEY QUE DECLARA BIEN HISTÓRICO ARTÍSTICO DENTRO DEL PATRIMONIO CULTURAL NACIONAL, EN LOS TÉRMINOS DE LA LEY 25.197, A LOS "ANGELES ARCABUCEROS"</t>
  </si>
  <si>
    <t xml:space="preserve"> 32 21/08/2025 -</t>
  </si>
  <si>
    <t xml:space="preserve"> ANDRADA, GUILLERMO EDUARDO - MOISES, MARÍA CAROLINA -</t>
  </si>
  <si>
    <t>MOISES Y ANDRADA: PROYECTO DE LEY QUE CREA EL REGISTRO NACIONAL DE MOJONES (RENDAM).</t>
  </si>
  <si>
    <t xml:space="preserve">MOISES Y ANDRADA: PROYECTO DE LEY QUE DECLARA COMO BIEN CULTURAL HISTÓRICO ARTÍSTICO DENTRO DEL PATRIMONIO CULTURAL NACIONAL, EN LOS TÉRMINOS DE LA LEY 25.197, A LOS MOJONES DE CARNAVAL.
</t>
  </si>
  <si>
    <t>ABAD: PROYECTO DE LEY QUE MODIFICA EL ARTICULO 30 DE LEY 26.206 DE EDUCACION NACIONAL, RESPECTO DE INCORPORAR CONOCIMIENTOS BASICOS DE LAS FINANZAS PERSONALES EN LOS ESTABLECIMIENTOS EDUCATIVOS DE NIVEL SECUNDARIO.</t>
  </si>
  <si>
    <t>ABAD: PROYECTO DE LEY QUE INTITUYE EL 21 DE JUNIO DE CADA AÑO COMO DIA NACIONAL DEL YOGA.</t>
  </si>
  <si>
    <t xml:space="preserve"> 31 21/08/2025 -</t>
  </si>
  <si>
    <t>AVILA: PROYECTO DE LEY QUE MODIFICA SU SIMILAR 27.499- LEY MICAELA -, RESPECTO DE INCLUIR EN LA CAPACITACIÓN A ABOGADOS DE MATRÍCULAS PROVINCIALES Y NACIONALES DE TODO EL TERRITORIO NACIONAL.</t>
  </si>
  <si>
    <t xml:space="preserve"> 29/04/2025 -</t>
  </si>
  <si>
    <t xml:space="preserve">BLANCO: PROYECTO DE LEY SOBRE CONVENIO DE COPARTICIPACIÓN FEDERAL DE IMPUESTOS.
</t>
  </si>
  <si>
    <t>MOISES Y OTROS: PROYECTO DE LEY SOBRE AMPLIACION DE COBERTURA DE MEDICAMENTOS DEL PAMI.</t>
  </si>
  <si>
    <t xml:space="preserve"> MOISES, MARÍA CAROLINA - REJAL, JESÚS FERNANDO - ANDRADA, GUILLERMO EDUARDO -</t>
  </si>
  <si>
    <t>MOISES Y OTROS: PROYECTO DE LEY QUE MODIFICA DIVERSAS LEYES PREVISIONALES A FIN DE INCREMENTAR EL MONTO DE LAS PRESTACIONES DEL RÉGIMEN PREVISIONAL.</t>
  </si>
  <si>
    <t>MOISES Y OTROS: PROYECTO DE LEY QUE DECLARA LA EMERGENCIA EN EL ACCESO A LAS PRESTACIONES PREVISIONALES POR CARENCIA DE APORTES.</t>
  </si>
  <si>
    <t>HUALA Y OTROS: PROYECTO DE LEY SOBRE EDUCACION INTELIGENTE.</t>
  </si>
  <si>
    <t xml:space="preserve"> 30 21/08/2025 -</t>
  </si>
  <si>
    <t xml:space="preserve"> 28/04/2025 -</t>
  </si>
  <si>
    <t xml:space="preserve"> HUALA, MARÍA VICTORIA - CRISTINA, ANDREA MARCELA - JUEZ, LUIS ALFREDO -</t>
  </si>
  <si>
    <t>DI TULLIO: PROYECTO DE RESOLUCION QUE CITA AL MINISTRO DE RELACIONES EXTERIORES, COMERCIO INTERNACIONAL Y CULTO DE LA NACION, DR GERARDO WERTHEIN DE CONFORMIDAD AL ART. 71 DE LA C.N. Y EL ART. 214 DEL REGLAMENTO DE LA H. CAMARA, A FIN DE DAR EXPLICACIONES SOBRE EL SILENCIO DE LA CARTERA ANTE LOS DICHOS DE LA TITULAR DEL FONDO MONETARIO INTERNACIONAL (FMI) KRISTALINA GEORGIEVA.</t>
  </si>
  <si>
    <t xml:space="preserve"> 25/04/2025 -</t>
  </si>
  <si>
    <t>ABAD: PROYECTO DE LEY QUE DISPONE LA EMISIÓN DE UN SELLO POSTAL EN CONMEMORACIÓN Y HOMENAJE AL PAPA FRANCISCO.</t>
  </si>
  <si>
    <t xml:space="preserve"> 29 21/08/2025 -</t>
  </si>
  <si>
    <t xml:space="preserve"> 24/04/2025 -</t>
  </si>
  <si>
    <t xml:space="preserve">  - 18/09/2025 -</t>
  </si>
  <si>
    <t xml:space="preserve"> 04/03/2026 - 09/05/2025 -</t>
  </si>
  <si>
    <t>18/09/2025</t>
  </si>
  <si>
    <t>SILVA: PROYECTO DE LEY QUE MODIFICA SU SIMILAR 20.628 -IMPUESTO A LAS GANANCIAS- RESPECTO DE EXIMIR DEL MISMO A LAS REMUNERACIONES PERCIBIDAS POR PROFESIONALES DE LA SALUD.</t>
  </si>
  <si>
    <t>SILVA: PROYECTO DE LEY QUE GARANTIZA LA PROTECCION Y SOSTENIMIENTO DEL FINANCIAMIENTO DE LAS UNIVERSIDADES NACIONALES EN TODO EL TERRITORIO.</t>
  </si>
  <si>
    <t>OLIVERA LUCERO: PROYECTO DE LEY SOBRE FOMENTO DEL USO EFICIENTE DE LA ENERGIA ELECTRICA Y REDUCIR LOS COSTOS OPERATIVOS DEL ESTADO.</t>
  </si>
  <si>
    <t>LOSADA Y TERENZI: PROYECTO DE LEY DE BUEN TRATO, CRIANZA POSITIVA Y PROTECCION INTEGRAL CONTRA EL MALTRATO Y VIOLENCIA HACIA NIÑAS, NIÑOS Y ADOLESCENTES.</t>
  </si>
  <si>
    <t xml:space="preserve"> TERENZI, EDITH ELIZABETH - LOSADA, CAROLINA -</t>
  </si>
  <si>
    <t>ABAD Y OTROS: PROYECTO DE LEY QUE ENCOMIENDA AL BANCO CENTRAL DE LA REP. ARGENTINA LA ACUÑACION Y PUESTA EN CIRCULACION DE UNA MONEDA Y UN BILLETE DE CURSO LEGAL VIGENTE EN CONMEMORACION Y HOMENAJE AL PAPA FRANCISCO.</t>
  </si>
  <si>
    <t xml:space="preserve"> ABAD, MAXIMILIANO - ATAUCHE, EZEQUIEL - MAYANS, JOSÉ MIGUEL ÁNGEL - PAOLTRONI, FRANCISCO MANUEL - BLANCO, PABLO DANIEL - ZIMMERMANN, VICTOR - VISCHI, EDUARDO ALEJANDRO - OLALLA, STELLA MARIS - KRONEBERGER, DANIEL RICARDO - GOERLING LARA, ENRIQUE MARTÍN - FAMA, FLAVIO SERGIO - VALENZUELA, MERCEDES GABRIELA - TERENZI, EDITH ELIZABETH - GALARETTO, EDUARDO HORACIO - LOSADA, CAROLINA - GARCÍA LARRABURU, SILVINA MARCELA - SUÁREZ, RODOLFO ALEJANDRO - REJAL, JESÚS FERNANDO - DE PEDRO, EDUARDO ENRIQUE - DI TULLIO, JULIANA - JURI, MARIANA - PAGOTTO, JUAN CARLOS -</t>
  </si>
  <si>
    <t>GARCIA LARRABURU: PROYECTO DE LEY QUE INSTITUYE EL 21 DE ABRIL DE CADA AÑO COMO "DIA NACIONAL DEL PASO A LA INMORTALIDAD DEL PAPA FRANCISCO, PRIMER PAPA ARGENTINO EN LA HISTORIA".</t>
  </si>
  <si>
    <t xml:space="preserve"> 28 24/04/2025 -</t>
  </si>
  <si>
    <t xml:space="preserve"> 23/04/2025 -</t>
  </si>
  <si>
    <t xml:space="preserve"> KIRCHNER, ALICIA MARGARITA ANTONIA - PILATTI VERGARA, MARÍA INÉS - GARCÍA LARRABURU, SILVINA MARCELA -</t>
  </si>
  <si>
    <t>24/04/2025</t>
  </si>
  <si>
    <t>GARCIA LARRABURU: PROYECTO DE LEY QUE CREA EL INSTITUTO NACIONAL DE INTELIGENCIA ARTIFICIAL.</t>
  </si>
  <si>
    <t xml:space="preserve"> GONZÁLEZ, MARÍA TERESA MARGARITA - PILATTI VERGARA, MARÍA INÉS - GARCÍA LARRABURU, SILVINA MARCELA -</t>
  </si>
  <si>
    <t>PARRILLI Y OTROS: PROYECTO DE RESOLUCION QUE CITA AL MINISTRO DE DEFENSA DE LA NACION, LUIS PETRI, DE CONFORMIDAD AL ART. 71 DE LA C.N. Y EL ART. 214 DEL REGLAMENTO DE LA H. CAMARA, A FIN DE BRINDAR INFORME SOBRE LOS HECHOS ACAECIDOS EN LA BASE NAVAL DE VICENTE LOPEZ DURANTE UNA PRACTICA ANTIDISTURBIOS, EL 4 DE ABRIL DE 2025.</t>
  </si>
  <si>
    <t xml:space="preserve"> CORA, STEFANIA - PARRILLI, OSCAR ISIDRO - CORPACCI, LUCÍA BENIGNA - ANDRADA, GUILLERMO EDUARDO - LÓPEZ, MARÍA FLORENCIA - DE PEDRO, EDUARDO ENRIQUE - REJAL, JESÚS FERNANDO - DURÉ, MARÍA EUGENIA - SAPAG, SILVIA ESTELA  - GIMÉNEZ, NORA DEL VALLE - NEDER, JOSÉ EMILIO - RODAS, ANTONIO JOSÉ - KIRCHNER, ALICIA MARGARITA ANTONIA - LEAVY, SERGIO NAPOLEÓN - FERNÁNDEZ SAGASTI, ANABEL - GARCÍA LARRABURU, SILVINA MARCELA -</t>
  </si>
  <si>
    <t>GARCIA LARRABURU: PROYECTO DE LEY QUE MODIFICA SU SIMILAR 20.628 -IMPUESTO A LAS GANANCIAS- RESPECTO DE EXIMIR DEL MISMO A TRABAJADORES DE LA SALUD POR INGRESOS QUE EXCEDAN GUARDIAS MENSUALES EN SERVICIOS HOSPITALARIOS DE SALUD PUBLICA O PRIVADA</t>
  </si>
  <si>
    <t xml:space="preserve"> GIMÉNEZ, NORA DEL VALLE - GARCÍA LARRABURU, SILVINA MARCELA -</t>
  </si>
  <si>
    <t>REJAL Y ANDRADA: PROYECTO DE LEY COMPLEMENTARIA DEL ARTICULO 3 DE LA LEY 23.548 DE COPARTICIPACION FEDERAL DE IMPUESTOS, SOBRE READECUACION DEL COEFICIENTE PARA EL FONDO DE APORTES DEL TESORO NACIONAL A LAS PROVINCIAS.</t>
  </si>
  <si>
    <t xml:space="preserve"> 22/04/2025 -</t>
  </si>
  <si>
    <t>REJAL Y ANDRADA: PROYECTO DE LEY QUE CREA LA LINEA DE ATENCION CONTRA ESTAFAS VIRTUALES Y FRAUDE DE DATOS PERSONALES.</t>
  </si>
  <si>
    <t>REJAL Y ANDRADA: PROYECTO DE LEY QUE MODIFICA SU SIMILAR 23.548- COPARTICIPACIÓN FEDERAL DE IMPUESTOS-, RESPECTO DE LA ASIGNACIÓN DEL FONDO DE APORTES DEL TESORO NACIONAL A LAS PROVINCIAS.</t>
  </si>
  <si>
    <t>MAYANS Y OTROS: PROYECTO DE RESOLUCION QUE DESIGNA COMO "PAPA FRANCISCO", AL RECINTO DEL H. SENADO DE LA NACIÓN UBICADO EN EL PRIMER PISO DEL PALACIO LEGISLATIVO.</t>
  </si>
  <si>
    <t xml:space="preserve"> 27 24/04/2025 -</t>
  </si>
  <si>
    <t xml:space="preserve"> NEDER, JOSÉ EMILIO - LEDESMA ABDALA DE ZAMORA, CLAUDIA - GONZÁLEZ, MARÍA TERESA MARGARITA - PARRILLI, OSCAR ISIDRO - DE PEDRO, EDUARDO ENRIQUE - ANDRADA, GUILLERMO EDUARDO - RECALDE, MARIANO - GARCÍA LARRABURU, SILVINA MARCELA - MANZUR, JUAN LUIS - KIRCHNER, ALICIA MARGARITA ANTONIA - SAPAG, SILVIA ESTELA  - CORA, STEFANIA - LEWANDOWSKI, MARCELO NÉSTOR - GIMÉNEZ NAVARRO, MARÍA CELESTE - FERNÁNDEZ SAGASTI, ANABEL - MAYANS, JOSÉ MIGUEL ÁNGEL - DI TULLIO, JULIANA - CORPACCI, LUCÍA BENIGNA - LINARES, CARLOS ALBERTO - LÓPEZ, CÁNDIDA CRISTINA -</t>
  </si>
  <si>
    <t>VALENZUELA: PROYECTO DE LEY SOBRE CARNE REAL: CLARIDAD EN LA IDENTIFICACIÓN DE SUSTITUTOS DE PRODUCTOS CÁRNICOS.</t>
  </si>
  <si>
    <t xml:space="preserve"> 21/04/2025 -</t>
  </si>
  <si>
    <t xml:space="preserve"> VALENZUELA, MERCEDES GABRIELA -</t>
  </si>
  <si>
    <t>DURE: PROYECTO DE LEY DE CAMPAÑA NACIONAL DE CONCIENTIZACIÓN SOBRE VACUNACIÓN.</t>
  </si>
  <si>
    <t xml:space="preserve"> 16/04/2025 -</t>
  </si>
  <si>
    <t>CRISTINA: PROYECTO DE LEY DE PROMOCION DE LOS DERECHOS DE LAS NIÑAS, NIÑOS Y ADOLESCENTES A LA DIGNIDAD, A LA INTEGRIDAD PERSONAL Y UNA VIDA LIBRE DE VIOLENCIAS, A TRAVES DE PROTOCOLOS PARA LA PREVENCION, DETECCION Y ACTUACION ANTE SITUACIONES DE VIOLENCIA.</t>
  </si>
  <si>
    <t xml:space="preserve"> CRISTINA, ANDREA MARCELA - AVILA, BEATRIZ LUISA -</t>
  </si>
  <si>
    <t>CRISTINA: PROYECTO DE LEY QUE MODIFICA SU SIMILAR 26.206 -EDUCACIÓN NACIONAL-, RESPECTO DE PROMOVER LA FORMACIÓN INTEGRAL, ORIENTADA EN EL CUIDADO DE LA SALUD MENTAL.</t>
  </si>
  <si>
    <t xml:space="preserve">DE ANGELI: PROYECTO DE LEY QUE INSTITUYE EL DIA 15 DE ABRIL DE CADA AÑO COMO EL "DIA NACIONAL DEL INMIGRANTE ALEMAN DEL VOLGA".
</t>
  </si>
  <si>
    <t xml:space="preserve"> 26 24/04/2025 -</t>
  </si>
  <si>
    <t xml:space="preserve"> 15/04/2025 -</t>
  </si>
  <si>
    <t xml:space="preserve">RODAS: PROYECTO DE LEY SOBRE REGULACIÓN DEL EJERCICIO DE LA PRÁCTICA DEL MASAJE CORPORAL.
</t>
  </si>
  <si>
    <t xml:space="preserve"> 14/04/2025 -</t>
  </si>
  <si>
    <t>SAPAG Y PILATTI VERGARA: PROYECTO DE LEY SOBRE SISTEMAS DE INTELIGENCIA ARTIFICIAL.</t>
  </si>
  <si>
    <t xml:space="preserve"> PILATTI VERGARA, MARÍA INÉS - SAPAG, SILVIA ESTELA  - DURÉ, MARÍA EUGENIA - CORA, STEFANIA - GONZÁLEZ, MARÍA TERESA MARGARITA - GIMÉNEZ, NORA DEL VALLE - PARRILLI, OSCAR ISIDRO - GARCÍA LARRABURU, SILVINA MARCELA - GIMÉNEZ NAVARRO, MARÍA CELESTE -</t>
  </si>
  <si>
    <t>FERNANDEZ SAGASTI Y OTROS: PROYECTO DE RESOLUCION QUE SOLICITA EL INGRESO DE LA REPUBLICA ARGENTINA AL GRUPO DE PAISES EMERGENTES DENOMINADO BRICS+.</t>
  </si>
  <si>
    <t xml:space="preserve"> 25 24/04/2025 -</t>
  </si>
  <si>
    <t xml:space="preserve"> 11/04/2025 -</t>
  </si>
  <si>
    <t xml:space="preserve"> FERNÁNDEZ SAGASTI, ANABEL - DI TULLIO, JULIANA - MAYANS, JOSÉ MIGUEL ÁNGEL -</t>
  </si>
  <si>
    <t xml:space="preserve">ABAD Y OTROS: PROYECTO DE LEY DE ASISTENCIA Y ACOMPAÑAMIENTO A LA UNIVERSIDAD NACIONAL DEL SUR.
</t>
  </si>
  <si>
    <t xml:space="preserve"> 09/04/2025 -</t>
  </si>
  <si>
    <t xml:space="preserve"> ABAD, MAXIMILIANO - DE PEDRO, EDUARDO ENRIQUE - DI TULLIO, JULIANA -</t>
  </si>
  <si>
    <t>DE PEDRO Y OTROS: PROYECTO DE LEY QUE DECLARA LA EMERGENCIA PRESUPUESTARIA Y FINANCIERA DEL SISTEMA NACIONAL DE CIENCIA, TECNOLOGIA E INNOVACION, HASTA EL 31 DE DICIEMBRE DE 2025.</t>
  </si>
  <si>
    <t xml:space="preserve"> PILATTI VERGARA, MARÍA INÉS - DE PEDRO, EDUARDO ENRIQUE - LINARES, CARLOS ALBERTO - CORA, STEFANIA - GARCÍA LARRABURU, SILVINA MARCELA - GONZÁLEZ, MARÍA TERESA MARGARITA - DURÉ, MARÍA EUGENIA - GIMÉNEZ, NORA DEL VALLE - GIMÉNEZ NAVARRO, MARÍA CELESTE -</t>
  </si>
  <si>
    <t xml:space="preserve">REJAL Y OTROS: PROYECTO DE LEY QUE CREA EL PROGRAMA DE ALFABETIZACION DIGITAL PARA LA PREVENCION DE LA DESINFORMACION Y DE ESTAFAS VIRTUALES.
</t>
  </si>
  <si>
    <t xml:space="preserve"> ANDRADA, GUILLERMO EDUARDO - SALINO, FERNANDO ALDO - REJAL, JESÚS FERNANDO - MOISES, MARÍA CAROLINA -</t>
  </si>
  <si>
    <t xml:space="preserve">REJAL Y OTROS: PROYECTO DE LEY QUE RATIFICA LA DECLARACION DE MONUMENTO HISTORICO NACIONAL AL COMPLEJO DE CHAPADMALAL Y EMBALSE DE RIO TERCERO. 
</t>
  </si>
  <si>
    <t xml:space="preserve"> SALINO, FERNANDO ALDO - DE PEDRO, EDUARDO ENRIQUE - MOISES, MARÍA CAROLINA - REJAL, JESÚS FERNANDO - ANDRADA, GUILLERMO EDUARDO -</t>
  </si>
  <si>
    <t xml:space="preserve">CRISTINA Y TERENZI: PROYECTO DE LEY QUE CREA EL RÉGIMEN DE INCENTIVOS PARA PROMOVER LA INVERSIÓN Y LA PRODUCCIÓN DE HIDROCARBUROS EN CUENCAS MADURAS DE EXPLOTACIÓN CONVENCIONAL. 	
</t>
  </si>
  <si>
    <t xml:space="preserve"> 24 24/04/2025 -</t>
  </si>
  <si>
    <t xml:space="preserve"> 08/04/2025 -</t>
  </si>
  <si>
    <t xml:space="preserve"> CRISTINA, ANDREA MARCELA - TERENZI, EDITH ELIZABETH -</t>
  </si>
  <si>
    <t>25/04/2025</t>
  </si>
  <si>
    <t xml:space="preserve">DE ANGELI: REPRODUCE PROYECTO DE LEY DE CONSERVACION DE LOS BANCOS DE GERMOPLASMA PARA LA AGRICULTURA Y LA ALIMENTACION. 
(REF. S. 252/20)
</t>
  </si>
  <si>
    <t xml:space="preserve">DE ANGELI: REPRODUCE PROYECTO DE LEY QUE DECLARA CAPITAL NACIONAL DEL BIOGAS, A LA CDAD. DE CERRITO, PROV. DE ENTRE RIOS.
(REF. S. 4022/18)
</t>
  </si>
  <si>
    <t xml:space="preserve">DE ANGELI: REPRODUCE PROYECTO DE LEY DE PROMOCIÓN DEL PRIMER EMPLEO JOVEN. (REF. S. 1694/21)
</t>
  </si>
  <si>
    <t xml:space="preserve">DE ANGELI: REPRODUCE PROYECTO DE LEY QUE DESIGNA A LA RUTA NACIONAL Nº 136 CON EL NOMBRE "ASAMBLEA CIUDADANA AMBIENTAL DE GUALEGUAYCHU". (REF. S. 2514/17)
</t>
  </si>
  <si>
    <t xml:space="preserve">DE ANGELI: REPRODUCE PROYECTO DE LEY QUE DECLARA DE INTERES NACIONAL LA LUCHA CONTRA LA LEISHMANIASIS. (REF. S. 2092/15)
</t>
  </si>
  <si>
    <t>LOPEZ C. Y  OTROS: PROYECTO DE RESOLUCION QUE CITA A LA SRA. MINISTRA DE SEGURIDAD DE LA NACION, LIC. PATRICIA BULLRICH, DE CONFORMIDAD AL ART. 71 DE LA C.N. Y AL ART. 214 DEL REGLAMENTO DE LA H. CAMARA, A FIN DE INFORMAR RESPECTO DE LAS FALLAS DE LOS CONTROLES ANTINARCOTICOS FRONTERIZOS DEL PASO SAN SEBASTIAN, EN LA PROV. DE TIERRA DEL FUEGO A.I.A.S.</t>
  </si>
  <si>
    <t xml:space="preserve"> GIMÉNEZ, NORA DEL VALLE - GARCÍA LARRABURU, SILVINA MARCELA - LÓPEZ, CÁNDIDA CRISTINA - LINARES, CARLOS ALBERTO -</t>
  </si>
  <si>
    <t xml:space="preserve">MENDOZA Y OTROS: PROYECTO DE LEY QUE CREA EL REGISTRO UNICO DE CANCER EN ARGENTINA (RUCA).
</t>
  </si>
  <si>
    <t xml:space="preserve"> MENDOZA, SANDRA MARIELA - MANZUR, JUAN LUIS - CORPACCI, LUCÍA BENIGNA - MOISES, MARÍA CAROLINA -</t>
  </si>
  <si>
    <t>ROMERO Y ESPINOLA: PROYECTO DE LEY QUE MODIFICA SU SIMILAR 24.156 - ADMINISTRACION FINANCIERA Y DE LOS SISTEMAS DE CONTROL DEL SECTOR PUBLICO NACIONAL- RESPECTO DE ADECUAR LA DURACION DE LOS AUDITORES GENERALES</t>
  </si>
  <si>
    <t xml:space="preserve"> 07/04/2025 -</t>
  </si>
  <si>
    <t xml:space="preserve"> 06/05/2025 - 10/04/2025 -</t>
  </si>
  <si>
    <t xml:space="preserve"> ROMERO, JUAN CARLOS - ESPÍNOLA, CARLOS MAURICIO -</t>
  </si>
  <si>
    <t>06/05/2025</t>
  </si>
  <si>
    <t>LOSADA Y OTROS: PROYECTO DE LEY QUE ESTABLECE LA CORRECTA CUSTODIA, ADMINISTRACION, REUTILIZACION SOCIAL Y DESTINO DE LOS BIENES OBJETO DE MEDIDAS CAUTELARES Y DECOMISO EN CAUSAS PENALES DE COMPETENCIA DE LA JUSTICIA FEDERAL.</t>
  </si>
  <si>
    <t xml:space="preserve"> 23 24/04/2025 -</t>
  </si>
  <si>
    <t xml:space="preserve"> 04/04/2025 -</t>
  </si>
  <si>
    <t xml:space="preserve"> AVILA, BEATRIZ LUISA - GALARETTO, EDUARDO HORACIO - JUEZ, LUIS ALFREDO - LOSADA, CAROLINA - JURI, MARIANA - SUÁREZ, RODOLFO ALEJANDRO - OLALLA, STELLA MARIS - VALENZUELA, MERCEDES GABRIELA - BLANCO, PABLO DANIEL - FAMA, FLAVIO SERGIO -</t>
  </si>
  <si>
    <t>04/04/2025</t>
  </si>
  <si>
    <t>UÑAC: PROYECTO DE LEY QUE CREA EL PROGRAMA DE FINANCIAMIENTO PUBLICO - PRIVADO PARA EL ACCESO A LA VIVIENDA.</t>
  </si>
  <si>
    <t xml:space="preserve"> 03/04/2025 -</t>
  </si>
  <si>
    <t>07/04/2025</t>
  </si>
  <si>
    <t>DE ANGELI: REPRODUCE PROYECTO DE LEY QUE MODIFICA LAS ALICUOTAS DE DERECHOS DE EXPORTACION. (REF. S. 3313/22)</t>
  </si>
  <si>
    <t>VALENZUELA: PROYECTO DE LEY QUE INTENSIFICA LA CAMPAÑA NACIONAL DE PREVENCION DEL CANCER DE MAMA, A TRAVES DE GEO ROSA, DURANTE EL MES DE OCTUBRE.</t>
  </si>
  <si>
    <t>OLIVERA LUCERO: PROYECTO DE LEY QUE INCORPORA A LA CURRICULA EDUCATIVA EN EL NIVEL SECUNDARIO, CONTEMPLADO EN LA LEY 26.206, LA ASIGNATURA "EDUCACIÓN FINANCIERA", EN LOS ESTABLECIMIENTOS PUBLICOS Y/O PRIVADOS.</t>
  </si>
  <si>
    <t xml:space="preserve"> 22 24/04/2025 -</t>
  </si>
  <si>
    <t>REJAL Y ANDRADA: PROYECTO DE LEY QUE CREA EL PROGRAMA NACIONAL DE AGRICULTURA FAMILIAR, CAMPESINA E INDIGENA.</t>
  </si>
  <si>
    <t xml:space="preserve"> REJAL, JESÚS FERNANDO - ANDRADA, GUILLERMO EDUARDO -</t>
  </si>
  <si>
    <t>GARCIA LARRABURU: PROYECTO DE LEY SOBRE BENEFICIOS PARA MONOTRIBUTISTAS.</t>
  </si>
  <si>
    <t xml:space="preserve"> 21 24/04/2025 -</t>
  </si>
  <si>
    <t xml:space="preserve"> 01/04/2025 -</t>
  </si>
  <si>
    <t xml:space="preserve">BENSUSAN: REPRODUCE EL PROYECTO DE LEY QUE INCORPORA AL CAP. VI DEL TITULO III DEL LIBRO SEGUNDO A SU SIMILAR 11.179 - CODIGO PENAL DE LA NACION- RESPECTO DE PENAS ACCESORIAS. (REF. S. 1388/23).
</t>
  </si>
  <si>
    <t>MAYANS Y OTRAS: PROYECTO DE LEY QUE MODIFICA SU SIMILAR 24.156 - ADMINISTRACION FINANCIERA Y DE LOS SISTEMAS DE CONTROL DEL SECTOR PUBLICO NACIONAL - RESPECTO DE LA CANTIDAD DE MIEMBROS DESIGNADOS COMO AUDITORES GENERALES.</t>
  </si>
  <si>
    <t xml:space="preserve"> 31/03/2025 -</t>
  </si>
  <si>
    <t xml:space="preserve"> 06/05/2025 - 04/04/2025 -</t>
  </si>
  <si>
    <t xml:space="preserve"> FERNÁNDEZ SAGASTI, ANABEL - MAYANS, JOSÉ MIGUEL ÁNGEL - DI TULLIO, JULIANA -</t>
  </si>
  <si>
    <t>LEWANDOWSKI Y OTROS: PROYECTO DE LEY QUE DECLARA LA EMERGENCIA AMBIENTAL, ECONOMICA Y HABITACIONAL POR EL PLAZO DE NOVENTA (90) DÍAS, PRORROGABLE POR IGUAL PLAZO EN LAS LOCALIDADES, MUNICIPIOS Y COMUNAS DEL SUR DE LA PROV. DE SANTA FE.</t>
  </si>
  <si>
    <t>2025-04-03 00:00:00</t>
  </si>
  <si>
    <t xml:space="preserve"> LEWANDOWSKI, MARCELO NÉSTOR - LOSADA, CAROLINA - GALARETTO, EDUARDO HORACIO -</t>
  </si>
  <si>
    <t>OV</t>
  </si>
  <si>
    <t>CV</t>
  </si>
  <si>
    <t>AUDITORIA GENERAL DE LA NACION: COMUNICA RESOLUCION N° 47/26 QUE APRUEBA EL PROGRAMA DE ACCION ANUAL CORRESPONDIENTE AL EJERCICIO 2026.</t>
  </si>
  <si>
    <t xml:space="preserve"> 20/02/2026 -</t>
  </si>
  <si>
    <t xml:space="preserve"> 23/02/2026 -</t>
  </si>
  <si>
    <t>BICAMERAL PERMANENTE PARLAMENTARIA MIXTA REVISORA DE CUENTAS</t>
  </si>
  <si>
    <t>23/02/2026</t>
  </si>
  <si>
    <t xml:space="preserve">AUDITORIA GENERAL DE LA NACION: COMUNICA RESOLUCION N° 46/26 QUE APRUEBA EL INFORME DE AUDITORIA, LA SINTESIS EJECUTIVA Y LA FICHA DE PRENSA, REALIZADO EN EL AMBITO DE LA FACULTAD DE PSICOLOGIA DE LA UBA, REFERIDO AL "SEGUIMIENTO DE LOS HALLAZGOS Y RECOMENDACIONES EFECTUADOS EN EL INFORME APROBADO POR RESOLUCION 187/2023-AGN, PERIODO AUDITADO DESDE 01/01/24 AL 31/12/24. </t>
  </si>
  <si>
    <t xml:space="preserve">AUDITORIA GENERAL DE LA NACION: COMUNICA RESOLUCION N° 45/26 QUE APRUEBA EL INFORME DE AUDITORIA, LA SINTESIS EJECUTIVA Y LA FICHA DE PRENSA, REALIZADO EN EL AMBITO DE LA FACULTAD DE MEDICINA DE LA UBA, REFERIDA A LA ESTRUCTURA ORGANIZATIVA, EJECUCION PRESUPUESTARIA, GESTION ACADEMICA, COMPRAS Y CONTRATACIONES, PERIODO AUDITADO DESDE 01/01/24 AL 31/12/24. </t>
  </si>
  <si>
    <t>AUDITORIA GENERAL DE LA NACION: COMUNICA RESOLUCION N° 44/26 QUE APRUEBA EL INFORME DE AUDITORIA, LA SINTESIS EJECUTIVA Y LA FICHA DE PRENSA, REALIZADO EN EL AMBITO DE LA FACULTAD DE CIENCIAS ECONOMICAS DE LA UBA, REFERIDO A LA ESTRUCTURA ORGANIZATIVA, FORMULACION Y EJECUCION PRESUPUESTARIA, COMPRAS Y CONTRATACIONES. PERIODO DE AUDITADO 01/01/24 AL 31/12/24.</t>
  </si>
  <si>
    <t>AUDITORIA GENERAL DE LA NACION: COMUNICA RESOLUCION N° 43/26 QUE APRUEBA EL INFORME DE AUDITORIA DE GESTION FINANCIERA Y DE CUMPLIMIENTO PRODUCIDO EN EL AMBITO DE LA FACULTAD DE DERECHO UBA, PERIODO AUDITADO DESDE 01/01/24 AL 31/12/24.</t>
  </si>
  <si>
    <t>AUDITORIA GENERAL DE LA NACION: COMUNICA RESOLUCION N° 42/26, QUE APRUEBA EL INFORME DE AUDITORIA, EL INFORME EJECUTIVO Y LA FICHA DE PRENSA, LLEVADO A CABO EN EL AMBITO DE LA UNIVERSIDAD NACIONAL DEL NORDESTE EN CUANTO A LA GESTION FINANCIERA, CONTABLE Y ADMINISTRATIVA CORRESPONDIENTE A LOS EJERCICIOS 2019, 2020 Y 2021.</t>
  </si>
  <si>
    <t>DE ANGELI: REPRODUCE PROYECTO DE LEY QUE MODIFICA EL ART. 3, INCISO E) PUNTO 6 DE SU SIMILAR 23.349 -IMPUESTO AL VALOR AGREGADO-, RESPECTO DE EXCEPTUAR LA ALÍCUOTA GENERAL DEL AGUA CUANDO SE TRATE DE CASA, HABITACIÓN/VIVIENDA ÚNICA. (REF. S. 2871/20)</t>
  </si>
  <si>
    <t xml:space="preserve"> 19 24/04/2025 -</t>
  </si>
  <si>
    <t xml:space="preserve"> 28/03/2025 -</t>
  </si>
  <si>
    <t>AUDITORIA GENERAL DE LA NACION: COMUNICA RESOLUCION N° 41/26 QUE TOMA CONOCIMIENTO DEL INFORME SOBRE LOS ESTADOS CONTABLES DE PERIODOS INTERMEDIOS FINALIZADOS EL 31/03/25, REFERIDOS A AYSA SA.</t>
  </si>
  <si>
    <t>DE ANGELI: REPRODUCE PROYECTO DE LEY QUE ESTABLECE LA ACTUALIZACION AUTOMATICA DE LA BASE IMPONIBLE DEL IMPUESTO A LAS GANANCIAS Y A LOS BIENES PERSONALES. (REF. S. 963/14)</t>
  </si>
  <si>
    <t>AUDITORIA GENERAL DE LA NACION: COMUNICA RESOLUCION N° 40/26 QUE APRUEBA EL INFORME REFERIDO AL BCRA - ESTADOS CONTABLES AL 31/12/2024 - PERIODO AUDITADO 01/01/24 AL 31/12/24.</t>
  </si>
  <si>
    <t>AUDITORIA GENERAL DE LA NACION: COMUNICA RESOLUCION N° 39/26, QUE APRUEBA EL INFORME ESPECIAL SOBRE LA EXISTENCIA Y FUNCIONAMIENTO DE LOS PROCEDIMIENTOS DE CONTROL INTERNO QUE APLICA EL BCRA PARA CUMPLIR CON LAS NORMAS DE LA UNIDAD DE INFORMACION FINANCIERA EN MATERIA DE PREVENCION DEL LAVADO DE ACTIVOS DE ORIGEN DELICTIVO Y FINANCIAMIENTO DEL TERRORISMO REFERIDO AL BCRA - ESTADOS CONTABLES AL 31/12/2024. ADJUNTA SOBRE CERRADO RESERVADO.</t>
  </si>
  <si>
    <t>AUDITORIA GENERAL DE LA NACION: COMUNICA RESOLUCION N° 38/26, QUE APRUEBA EL MEMORANDO SOBRE EL SISTEMA DE CONTROL INTERNO CONTABLE DEL BCRA AL 31/12/2024 Y ADJUNTA SOBRE CERRADO RESERVADO.</t>
  </si>
  <si>
    <t>ZIMMERMANN: PROYECTO DE RESOLUCION QUE RINDE HOMENAJE AL DR. RAUL RICARDO ALFONSÍN, EN EL 16 ANIVERSARIO DE SU FALLECIMIENTO, EL 31 DE MARZO DE 2025.</t>
  </si>
  <si>
    <t>AUDITORIA GENERAL DE LA NACION: COMUNICA RESOLUCION Nº 37/26, QUE TOMA CONOCIMIENTO DEL INFORME SOBRE ESTADOS CONTABLES DE PERIODOS INTERMEDIOS FINALIZADOS EL 30/09/2025, REFERIDOS A AYSA S.A.</t>
  </si>
  <si>
    <t>AUDITORIA GENERAL DE LA NACION: COMUNICA RESOLUCION N° 36/26, QUE APRUEBA EL INFORME REFERIDO A LOS ESTADOS FINANCIEROS E INFORMACION FINANCIERA COMPLEMENTARIA CORRESP. AL "FINANCIAMIENTO ADICIONAL PARA EL PROYECTO DE DESARROLLO SUSTENTABLE DE LA CUENCA MATANZA-RIACHUELO (CMR)", FINANCIADO CON RECURSOS PROVENIENTES DEL CP BIRF N°9008-AR, POR EL EJERCICIO N°5, COMPRENDIDO ENTRE EL 01/01/24 Y EL 31/12/24.</t>
  </si>
  <si>
    <t>AUDITORIA GENERAL DE LA NACION: COMUNICA RESOLUCION N° 35/26, QUE APRUEBA EL INFORME REFERIDO A LOS ESTADOS FINANCIEROS CORRESPONDIENTES AL "PROYECTO DE FORTALECIMIENTO DE LA POLITICA ALIMENTARIA PARA POBLACIONES VULNERABLES" FINANCIADO CON RECURSOS PROVENIENTES DEL CP BIRF N°9588-AR, POR EL EJERCICIO IRREGULAR N°1, COMPRENDIDO ENTRE EL 07/11/23 Y EL 31/12/24.</t>
  </si>
  <si>
    <t>AUDITORIA GENERAL DE LA NACION: COMUNICA RESOLUCION N° 34/26, QUE APRUEBA EL INFORME REFERIDO A LOS ESTADOS FINANCIEROS, CORRESPONDIENTES AL "PROYECTO DE FORTALECIMIENTO A LA INFRAESTRUCTURA DE DATOS PARA CERRAR LA BRECHA DIGITAL EN ARGENTINA", FINANCIADO CON RECURSOS PROVENIENTES DEL CP BIRF N°9455-AR, POR EL EJERCICIO N°2, COMPRENDIDO ENTRE EL 01/01/24 Y EL 31/12/24.</t>
  </si>
  <si>
    <t>LEDESMA ABDALA: PROYECTO DE LEY QUE MODIFICA EL ART. 239 DEL CODIGO PENAL, RESPECTO DE LA DESOBEDIENCIA A MEDIDAS CAUTELARES EN EL MARCO DE UNA DENUNCIA POR VIOLENCIA DE GENERO.</t>
  </si>
  <si>
    <t xml:space="preserve"> LEDESMA ABDALA DE ZAMORA, CLAUDIA -</t>
  </si>
  <si>
    <t>AUDITORIA GENERAL DE LA NACION: COMUNICA RESOLUCION N° 33/26, QUE APRUEBA EL INFORME REFERIDO A LOS ESTADOS FINANCIEROS, CORRESPONDIENTES AL "PROYECTO CORREDOR DE DESARROLLO VIAL DEL NOROESTE" FINANCIADO PARCIALMENTE CON RECURSOS PROVENIENTES DEL CP BIRF N°8810-AR, POR EL EJERCICIO IRREGULAR DE CIERRE N°6, COMPRENDIDO ENTRE EL 01/01/24 Y EL 30/11/24.</t>
  </si>
  <si>
    <t xml:space="preserve">AUDITORIA GENERAL DE LA NACION: COMUNICA RESOLUCION N° 32/26, QUE APRUEBA EL INFORME REFERIDO A LOS ESTADOS FINANCIEROS DEL "PROYECTO DE SISTEMAS AGROALIMENTARIOS CLIMATICAMENTE INTELIGENTES E INCLUSIVOS" FINANCIADO PARCIALMENTE CON RECURSOS PROVENIENTES DEL CP BIRF N°9313-AR, POR EL EJERCICIO N° 3, ENTRE EL 01/01/24 Y EL 31/12/24.
</t>
  </si>
  <si>
    <t>AUDITORÍA GENERAL DE LA NACIÓN: COMUNICA RESOLUCIÓN Nº 31/26, QUE APRUEBA EL INFORME SOBRE LOS ESTADOS FINANCIEROS CORRESPONDIENTES AL PROYECTO "MEJORA DE LA INCLUSIÓN EN EDUCACIÓN SECUNDARIA Y SUPERIOR" - PARTE 2, (CP N° 8999-AR BIRF) POR EL EJERCICIO N° 5 COMPRENDIDO ENTRE EL 01/01/2024 Y EL 31/12/2024.</t>
  </si>
  <si>
    <t xml:space="preserve">AUDITORÍA GENERAL DE LA NACIÓN: COMUNICA RESOLUCIÓN Nº 30/26, QUE APRUEBA EL INFORME DE LOS ESTADOS FINANCIEROS DEL "PROYECTO DE RECUPERACIÓN SUSTENTABLE DE PAISAJES Y MEDIOS DE VIDA EN ARGENTINA" 
(CP N° 9335-AR BIRF) Y CD TF0B7681) POR EL EJERCICIO N° 2 ENTRE EL 01/01/2024 Y EL 31/12/2024.
</t>
  </si>
  <si>
    <t xml:space="preserve">AUDITORÍA GENERAL DE LA NACIÓN: COMUNICA RESOLUCIÓN Nº 29/26, QUE TOMA CONOCIMIENTO SOBRE LOS ESTADOS CONTABLES DE PERIODOS INTERMEDIOS FINALIZADOS EL 30/06/2025, REFERIDOS A AGUA Y SANEAMIENTOS ARGENTINOS S.A. 
</t>
  </si>
  <si>
    <t>AUDITORÍA GENERAL DE LA NACIÓN: COMUNICA RESOLUCIÓN Nº 28/26, QUE APRUEBA EL INFORME SOBRE LOS ESTADOS FINANCIEROS DEL "PROGRAMA DE GESTIÓN INTEGRAL DE LOS RIESGOS EN EL SISTEMA AGROINDUSTRIAL RURAL (GIRSAR) (CP N° 8867-AR BIRF) POR EL EJERCICIO N° 5, INICIADO EL 01/01/2024 Y FINALIZADO EL 31/12/2024.</t>
  </si>
  <si>
    <t>AUDITORÍA GENERAL DE LA NACIÓN: COMUNICA RESOLUCIÓN Nº 27/26, QUE APRUEBA EL INFORME SOBRE LOS ESTADOS FINANCIEROS DEL "PROYECTO DE DESARROLLO SUSTENTABLE DE LA CUENTA MATANZA-RIACHUELO" (CP N° 7706-AR BIRF) POR EL EJERCICIO N° 14, INICIADO EL 01/01/2024 Y FINALIZADO EL 31/12/2024.</t>
  </si>
  <si>
    <t>AUDITORÍA GENERAL DE LA NACIÓN: COMUNICA RESOLUCIÓN Nº 26/26, QUE APRUEBA EL INFORME DE LOS ESTADOS FINANCIEROS DEL PROGRAMA "FINANCIAMIENTO ADICIONAL PARA EL PROYECTO MEJORA DE LA INCLUSIÓN EDUCATIVA EN EL NIVEL SECUNDARIO Y SUPERIOR" (CP N° 9477-AR BIRF) POR EL EJERCICIO N° 2 INICIADO EL 01/01/2024 Y FINALIZADO EL 31/12/2024.</t>
  </si>
  <si>
    <t>AUDITORÍA GENERAL DE LA NACIÓN: COMUNICA RESOLUCIÓN Nº 25/26, QUE APRUEBA EL INFORME SOBRE LOS ESTADOS FINANCIEROS DEL "PROYECTO DE DESARROLLO INTEGRAL DE LA PRIMERA INFANCIA" (CP N° 9748-AR BIRF) POR EL EJERCICIO IRREGULAR N° 1 INICIADO EL 04/12/2024 Y FINALIZADO EL 31/12/2024.</t>
  </si>
  <si>
    <t>RODAS Y OTROS: PROYECTO DE LEY SOBRE PROMOCIÓN DE LA INDUSTRIA NAVAL ARGENTINA.</t>
  </si>
  <si>
    <t xml:space="preserve"> 27/03/2025 -</t>
  </si>
  <si>
    <t xml:space="preserve"> GIMÉNEZ, NORA DEL VALLE - GONZÁLEZ, MARÍA TERESA MARGARITA - LINARES, CARLOS ALBERTO - RODAS, ANTONIO JOSÉ - KIRCHNER, ALICIA MARGARITA ANTONIA -</t>
  </si>
  <si>
    <t>AUDITORÍA GENERAL DE LA NACIÓN: COMUNICA RESOLUCIÓN Nº 24/26, QUE APRUEBA EL INFORME SOBRE LOS ESTADOS FINANCIEROS DEL "SEGUNDO FINANCIAMIENTO ADICIONAL PARA EL PROYECTO DE DESARROLLO SUSTENTABLE DE LA CUENCA MATANZA-RIACHUELO" (CP N° 9252-AR BIRF) POR EL EJERCICIO N° 3, INICIADO EL 01/01/2024 Y FINALIZADO EL 31/12/2024.</t>
  </si>
  <si>
    <t>AUDITORÍA GENERAL DE LA NACIÓN: COMUNICA RESOLUCIÓN Nº 23/26, QUE APRUEBA EL INFORME SOBRE LOS ESTADOS FINANCIEROS DEL "PROGRAMA DE FORTALECIMIENTO DE LOS SERVICIOS DE SANIDAD AGROPECUARIA Y DEL MANEJO SUSTENTABLE DE LOS RECURSOS MARÍTIMOS DE ARGENTINA" (CP N° 5660/OC-AR BID) POR EL EJERCICIO IRREGULAR N° 1, ENTRE EL 17/11/2023 Y EL 31/12/2024.</t>
  </si>
  <si>
    <t>AUDITORÍA GENERAL DE LA NACIÓN: COMUNICA RESOLUCIÓN Nº 22/26, QUE APRUEBA EL INFORME SOBRE LOS ESTADOS FINANCIEROS DEL "PROGRAMA DE DESARROLLO INTEGRAL DE LA PRIMERA INFANCIA" (CP N° 5953/OC-AR BID) POR EL EJERCICIO IRREGULAR N° 1, INICIADO EL 01/12/2024 Y FINALIZADO EL  31/12/2024.</t>
  </si>
  <si>
    <t>AUDITORÍA GENERAL DE LA NACIÓN: COMUNICA RESOLUCIÓN Nº 21/26, QUE APRUEBA EL INFORME RESPECTO DE LOS ESTADOS FINANCIEROS CORRESPONDIENTES AL "PROGRAMA DE INNOVACIÓN PARA EL CRECIMIENTO INTELIGENTE" DE LA AGENCIA NACIONAL DE PROMOCIÓN DE LA INVESTIGACIÓN, EL DESARROLLO TECNOLÓGICO Y LA INNOVACIÓN (CP N° 9434-AR BIRF) POR EL EJERCICIO N° 2 , INICIADO EL 01/01/2024 Y FINALIZADO EL 31/12/2024.</t>
  </si>
  <si>
    <t>AUDITORÍA GENERAL DE LA NACIÓN: COMUNICA RESOLUCIÓN Nº 20/26, QUE APRUEBA EL INFORME SOBRE CONTROLES -INTERNO Y CONTABLE- RESPECTO DE LOS ESTADOS FINANCIEROS DEL "PROGRAMA DE AGUA Y SANEAMIENTO CON ATENCIÓN A ZONAS VULNERABLES" (CP N° 9207-AR- BIRF) CORRESPONDIENTES A AGUA Y SANEAMIENTOS ARGENTINOS S.A. (AYSA) AL 31/12/2024. Y ADJUNTA SOBRE CERRADO RESERVADO.</t>
  </si>
  <si>
    <t>AUDITORÍA GENERAL DE LA NACIÓN: COMUNICA RESOLUCIÓN Nº 19/26, QUE APRUEBA EL INFORME RESPECTO DE LOS ESTADOS FINANCIEROS DEL "PROGRAMA DE AGUA Y SANEAMIENTO CON ATENCIÓN A ZONAS VULNERABLES" (CP N° 9207-AR- BIRF) CORRESPONDIENTES A AGUA Y SANEAMIENTOS ARGENTINOS S.A. (AYSA) AL 31/12/2024.</t>
  </si>
  <si>
    <t xml:space="preserve">AUDITORÍA GENERAL DE LA NACIÓN: COMUNICA RESOLUCIÓN Nº 18/26, QUE APRUEBA EL INFORME RESPECTO DE LOS ESTADOS FINANCIEROS CORRESPONDIENTES AL "PROYECTO ENERGÍA LIMPIA PARA HOGARES Y COMUNIDADES VULNERABLES" DEL MINISTERIO DE ECONOMÍA (CP N° 9521-AR BIRF) POR EL EJERCICIO IRREGULAR N° 1, INICIADO EL 19/10/2023 Y FINALIZADO EL 31/12/2024. </t>
  </si>
  <si>
    <t>AUDITORÍA GENERAL DE LA NACIÓN: COMUNICA RESOLUCIÓN Nº 17/26, QUE APRUEBA EL INFORME RESPECTO DE LOS ESTADOS FINANCIEROS CORRESPONDIENTES AL "PROGRAMA DE GESTIÓN INTEGRAL DE RESIDUOS SÓLIDOS URBANOS II", DE LA JEFATURA DE GABINETE DE MINISTROS (CP N°5567/OC-AR BID) POR EL EJERCICIO N° 2 , INICIADO EL 01/01/2024 Y FINALIZADO EL 31/12/2024.</t>
  </si>
  <si>
    <t>AUDITORIA GENERAL DE LA NACION: COMUNICA RESOLUCIÓN Nº 16/26, QUE APRUEBA EL INFORME RESPECTO DE LOS ESTADOS FINANCIEROS CORRESPONDIENTES AL "PROGRAMA DE APOYO AL PLAN NACIONAL DE PRIMERA INFANCIA Y LA POLÍTICA DE UNIVERSALIZACIÓN DE LA EDUCACIÓN INICIAL II - COMPONENTE 2", DEL MINISTERIO DE CAPITAL HUMANO (CP N°5585/OC-AR BID) EJERCICIO N° 2, INICIADO EL 01/01/2024 Y FINALIZADO EL 31/12/2024.</t>
  </si>
  <si>
    <t>AUDITORIA GENERAL DE LA NACION: COMUNICA RESOLUCION N°15/26, QUE APRUEBA LA CERTIFICACION DE INDICADORES VINCULADOS A DESEMBOLSOS (IVD) 13.2 DEL "FINANCIAMIENTO ADICIONAL AL PROGRAMA PARA LA MEJORA DE LA INCLUSION EN EDUCACION SECUNDARIA Y SUPERIOR" DEL MINISTERIO DE CAPITAL HUMANO (CP N° 9477-AR BIF).</t>
  </si>
  <si>
    <t>GALARETTO Y OTROS: PROYECTO DE LEY QUE MODIFICA SU SIMILAR 26.529 -DERECHO DEL PACIENTE EN SU RELACION CON LOS PROFESIONALES E INSTITUCIONES DE SALUD- RESPECTO DE LOS REQUISITOS DEL CONSENTIMIENTO INFORMADO ESCRITO.</t>
  </si>
  <si>
    <t xml:space="preserve"> 18 24/04/2025 -</t>
  </si>
  <si>
    <t xml:space="preserve">  - 28/08/2025 -</t>
  </si>
  <si>
    <t xml:space="preserve"> 04/03/2026 - 04/04/2025 -</t>
  </si>
  <si>
    <t xml:space="preserve"> ABAD, MAXIMILIANO - GALARETTO, EDUARDO HORACIO - LOSADA, CAROLINA - VALENZUELA, MERCEDES GABRIELA - TERENZI, EDITH ELIZABETH - ZIMMERMANN, VICTOR - AVILA, BEATRIZ LUISA - FAMA, FLAVIO SERGIO - CRISTINA, ANDREA MARCELA - KRONEBERGER, DANIEL RICARDO - BLANCO, PABLO DANIEL -</t>
  </si>
  <si>
    <t>28/08/2025</t>
  </si>
  <si>
    <t>AUDITORIA GENERAL DE LA NACION: COMUNICA RES. N°14/26, QUE APRUEBA EL INFORME DEL "PROGRAMA DE AGUA POTABLE Y SANEAMIENTO PARA EL AREA METROPOL. DE BS. AS. Y LOS PARTIDOS DEL PRIMER, SEG. Y TERCER CORDON DEL CONURBANO BONAERENSE- TRAMO II", (CP N° 5648/OC-AR BID) CORRESP. A AYSA POR EL EJERCICIO IRREGULAR DEL 16/12/2022 AL 31/12/2024, ADJUNTA SOBRE CERRADO RESERVADO.</t>
  </si>
  <si>
    <t>AUDITORIA GENERAL DE LA NACION: COMUNICA RESOLUCION N°13/26, QUE APRUEBA EL INFORME SOBRE LOS ESTADOS FINANCIEROS DEL "PROGRAMA DE AGUA POTABLE Y SANEAMIENTO PARA EL AREA METROPOLITANA DE BUENOS AIRES Y LOS PARTIDOS DEL PRIMER, SEGUNDO Y TERCER CORDON DEL CONURBANO BONAERENSE- TRAMO II", (CP N° 5648/OC-AR BID) CORRESP. A AYSA POR EL EJERCICIO IRREGULAR DEL 16/12/2022 AL 31/12/2024.</t>
  </si>
  <si>
    <t xml:space="preserve">REJAL Y OTROS: PROYECTO DE LEY QUE DECLARA EL ESTADO DE EMERGENCIA ECONÓMICA, FINANCIERA, Y ADUANERA EN LA CADENA DE VALOR TEXTIL, EN TODO EL TERRITORIO DE LA REP. ARGENTINA POR EL TÉRMINO DE DOS AÑOS. </t>
  </si>
  <si>
    <t xml:space="preserve"> 26/03/2025 -</t>
  </si>
  <si>
    <t xml:space="preserve"> REJAL, JESÚS FERNANDO - ANDRADA, GUILLERMO EDUARDO - SALINO, FERNANDO ALDO - CORPACCI, LUCÍA BENIGNA - MOISES, MARÍA CAROLINA -</t>
  </si>
  <si>
    <t>AUDITORIA GENERAL DE LA NACION: COMUNICA RES. N°12/26, QUE APRUEBA EL INFORME SOBRE CONTROLES -INTERNO Y CONTABLE- DE LOS ESTADOS FINANCIEROS DEL "PROGRAMA DE AMPLIACION, REHABILITACION Y OPTIMIZACION DE PLANTAS DE TRATAMIENTO Y EXTENSION DE REDES EN EL AREA METROP. DE BUENOS AIRES", (CP BEI N° 659-2016) CORRESP. A AYSA POR EL EJERCICIO IRREGULAR DEL 01/08/2023 AL 31/12/2024 Y ADJUNTA SOBRE CERRADO RESERVADO</t>
  </si>
  <si>
    <t xml:space="preserve">AUDITORIA GENERAL DE LA NACION: COMUNICA RESOLUCION N°11/26, QUE APRUEBA EL INFORME SOBRE LOS ESTADOS FINANCIEROS DEL "PROGRAMA DE AMPLIACION, REHABILITACION Y OPTIMIZACION DE ´PLANTAS DE TRATAMIENTO Y EXTENSION DE REDES EN EL AREA METROPOLITANA DE BUENOS AIRES", (CP BEI N° 659-2016) CORRESPONDIENTES A AGUA Y SENEAMIENTOS ARGENTINOS S.A. (AYSA) POR EL EJERCICIO IRREGULAR DEL 01/08/2023 AL 31/12/2024.
</t>
  </si>
  <si>
    <t>VALENZUELA: PROYECTO DE LEY QUE DECLARA FIESTA NACIONAL DEL MATE Y LA AMISTAD, A REALIZARSE EN LA CDAD. DE GDOR. ING. VALENTIN VIRASORO, PROV. DE CORRIENTES, EN EL MES DE SEPTIEMBRE DE CADA AÑO.</t>
  </si>
  <si>
    <t xml:space="preserve">AUDITORIA GENERAL DE LA NACION: COMUNICA RESOLUCION N° 10/26, QUE APRUEBA EL INFORME SOBRE CONTROLES- INTERNO Y CONTABLE- RESPECTO DE LOS ESTADOS FINANCIEROS DEL "PROGRAMA AGUA Y CLOACA MAS TRABAJO", (CP N° ARG 47/2020- FONPLATA) CORRESPONDIENTE A AGUA Y SANEAMIENTOS ARGENTINOS S.A. (AYSA) AL 31/12/24 Y ADJUNTA SOBRE CERRADO RESERVADO
</t>
  </si>
  <si>
    <t xml:space="preserve">AUDITORIA GENERAL DE LA NACION: COMUNICA RESOLUCION N° 9/26, QUE APRUEBA EL INFORME SOBRE LOS ESTADOS FINANCIEROS DEL "PROGRAMA DE AGUA Y CLOACA MAS TRABAJO", (CP N° ARG 47/2020-                           FONPLATA) CORRESPONDIENTES A AGUA Y SENEAMIENTOS ARGENTINOS S.A. (AYSA) AL 31/12/24.
</t>
  </si>
  <si>
    <t>AUDITORIA GENERAL DE LA NACION: COMUNICA RESOLUCION N° 8/26, QUE APRUEBA EL INFORME SOBRE CONTROLES -INTERNO Y CONTABLE- RESPECTO DE LOS ESTADOS FINANCIEROS DEL "TERCER PROGRAMA DE AGUA POTABLE Y SANEAMIENTO DEL AREA METROPOLITANA Y EL CONURBANO BONAERENSE", (CP N° 3733/OC-AR BID) CORRESPONDIENTES A AYSA AL 31/12/24 Y ADJUNTA SOBRE CERRADO RESERVADO.</t>
  </si>
  <si>
    <t>AUDITORIA GENERAL DE LA NACION: COMUNICA RESOLUCION N° 7/26, QUE APRUEBA EL INFORME SOBRE LOS ESTADOS FINANCIEROS DEL TERCER PROGRAMA DE AGUA POTABLE Y SANEAMIENTO DEL AREA METROPOLITANA Y EL CONURBANO BONAERENSE, PRESTAMO BID 3733/OC-AR, CORRESPONDIENTES A AYSA S.A. AL 31/12/24.</t>
  </si>
  <si>
    <t>AUDITORIA GENERAL DE LA NACION: COMUNICA RESOLUCION N° 6/26, QUE APRUEBA EL INFORME SOBRE CONTROLES -INTERNO Y CONTABLE- RESPECTO DE LOS ESTADOS FINANCIEROS DEL "PROGRAMA DE AGUA POTABLE Y SANEAMIENTO PARA EL AREA METROPOLITANA DE LA CIUDAD DE BUENOS AIRES Y LOS PARTIDOS DEL PRIMER, SEGUNDO Y TERCER CORDON DEL CONURBANO BONAERENSE", (CP N° 4268/OC-AR BID) CORRESPONDIENTES A AGUA Y SANEAMIENTOS ARGENTINOS SOCIEDAD ANONIMA AL 31/12/24 Y ADJUNTA SOBRE CERRADO RESERVADO.</t>
  </si>
  <si>
    <t>AUDITORIA GENERAL DE LA NACION: COMUNICA RESOLUCION N° 5/26, QUE APRUEBA EL INFORME SOBRE LOS ESTADOS FINANCIEROS DEL "PROGRAMA DE AGUA POTABLE Y SANEAMIENTO PARA EL AREA METROPOLITANA DE LA CDAD. DE BUENOS AIRES Y LOS PARTIDOS DEL PRIMER, SEGUNDO Y TERCER CORDON DEL CONURBANO BONAERENSE", PRESTAMO 4268/OC-AR (BID) CORRESPONDIENTE A AYSA AL 31/12/24.</t>
  </si>
  <si>
    <t xml:space="preserve">AUDITORIA GENERAL DE LA NACION: COMUNICA RESOLUCION N° 4/26, QUE APRUEBA EL INFORME REFERIDO A LOS ESTADOS FINANCIEROS POR EL EJERCICIO IRREGULAR N°9, COMPRENDIDO ENTRE EL 01/05/22 Y EL 30/07/23, CORRESPONDIENTES AL PROGRAMA DE DESARROLLO DE CORREDORES TURISTICOS,  
PARCIALMENTE FINANCIADO CON RECURSOS PROVENIENTES DEL CONTRATO DE PRESTAMO N°2606/OC-AR.
</t>
  </si>
  <si>
    <t xml:space="preserve">AUDITORIA GENERAL DE LA NACION: COMUNICA RESOLUCION N° 3/26, QUE APRUEBA EL INFORME REFERIDO A LOS ESTADOS FINANCIEROS POR EL EJERCICIO IRREGULAR N°1, COMPRENDIDO ENTRE EL 01/07/23 Y EL 31/12/24, CORRESPONDIENTES AL PROGRAMA DE APOYO A PEQUEÑOS PRODUCTORES VITIVINICOLAS DE ARGENTINA (PROVIAR) II°, PARCIALMENTE FINANCIADO CON RECURSOS PROVENIENTES DEL CONTRATO DE PRESTAMO N°5736/OC-AR.
</t>
  </si>
  <si>
    <t>AUDITORIA GENERAL DE LA NACION: COMUNICA RESOLUCION N° 2/26 QUE APRUEBA EL INFORME REFERIDO A LOS ESTADOS FINANCIEROS POR EL EJERCICIO N°3, COMPRENDIDO ENTRE EL 01/01/24 Y EL 31/12/24, CORRESPONDIENTES AL PROGRAMA DE INNOVACION FEDERAL, SUBPROGRAMA I, PARCIALMENTE FINANCIADO CON RECURSOS PROVENIENTES DEL CONTRATO DE PRESTAMO N° 5293/OC-AR.</t>
  </si>
  <si>
    <t xml:space="preserve">LINARES Y MOISES: PROYECTO DE LEY DE CAPACITACION SOBRE DISCAPACIDAD Y DIFICULTADES DEL APRENDIZAJE EN EL SISTEMA EDUCATIVO NACIONAL. </t>
  </si>
  <si>
    <t xml:space="preserve"> 17 24/04/2025 -</t>
  </si>
  <si>
    <t xml:space="preserve"> RODAS, ANTONIO JOSÉ - LINARES, CARLOS ALBERTO - MOISES, MARÍA CAROLINA - GARCÍA LARRABURU, SILVINA MARCELA - GIMÉNEZ, NORA DEL VALLE -</t>
  </si>
  <si>
    <t xml:space="preserve">AUDITORIA GENERAL DE LA NACION: COMUNICA RESOLUCION N° 1/26 QUE APRUEBA EL INFORME, REFERIDO A LA AUDITORIA PRACTICADA SOBRE LOS ESTADOS CONTABLES POR EL EJERCICIO FINALIZADO EL 31/12/24, CORRESPONDIENTE A AGUA Y SANEAMIENTOS ARGENTINOS S.A.
</t>
  </si>
  <si>
    <t>UÑAC: PROYECTO DE LEY QUE DECLARA LA EMERGENCIA VIAL EN LA PROVINCIA DE SAN JUAN.</t>
  </si>
  <si>
    <t xml:space="preserve"> 25/03/2025 -</t>
  </si>
  <si>
    <t>CA</t>
  </si>
  <si>
    <t>AUDITORIA GENERAL DE LA NACION: COMUNICA DISPOSICION N° 14/26, QUE AUTORIZA A IMPUTAR AL FONDO ESPECIAL DE RESERVA CREADO POR DISPOSICION N° 283/25-AGN Y EFECTUAR DE LOS FONDOS ALLI RESERVADOS EL PAGO POR LA ADQUISICION DE BIENES CON LA FIRMA MALPELI HERMANOS S.R.L.</t>
  </si>
  <si>
    <t xml:space="preserve"> 06/02/2026 -</t>
  </si>
  <si>
    <t xml:space="preserve">AUDITORIA GENERAL DE LA NACION: COMUNICA DISPOSICION Nº 283/25, QUE CREA UN FONDO ESPECIAL DE RESERVA DE LA AGN, CONFORMADO CON LOS SALDOS DE CREDITOS DE LA PARTIDAS ESPECIFICAS DEL PRESUPUESTO GENERAL DEL ORGANISMO NO COMPROMETIDOS AL FINALIZAR EL EJERCICIO.
</t>
  </si>
  <si>
    <t xml:space="preserve"> 04/02/2026 -</t>
  </si>
  <si>
    <t>MINISTERIO DE DEFENSA: COMUNICA QUE SE AUTORIZA LA SALIDA DEL TERRITORIO NACIONAL DE LA CORBETA A.R.A. "ROBINSON" CON MOTIVO DE LA REALIZACIÓN DE UNA EJERCITACION DE BÚSQUEDA Y RESCATE MARÍTIMO EN OCASIÓN DE LA XXVIII EDICIÓN DE LA REGATA OCEÁNICA BUENOS AIRES - RIO DE JANEIRO, DEL 12 DE FEBRERO AL 05 DE NOVIEMBRE DE 2026.</t>
  </si>
  <si>
    <t>TRIBUNAL DE ENJUICIAMIENTO - MINISTERIO PÚBLICO DE LA DEFENSA: REMITE MEMORIA ANUAL, CORRESPONDIENTE AL PERIODO COMPRENDIDO ENTRE EL 14 DE DICIEMBRE DE 2024 Y EL 18 DE DICIEMBRE DE 2025.</t>
  </si>
  <si>
    <t>HUALA: REPRODUCE PROYECTO DE LEY QUE CREA REGIMEN DE PROMOCION INDUSTRIAL DE TECNOLOGIA DE ASISTENCIAS. (REF. S. 2472/23)</t>
  </si>
  <si>
    <t xml:space="preserve"> 21/03/2025 -</t>
  </si>
  <si>
    <t>HUALA: REPRODUCE PROYECTO DE LEY QUE MODIFICA SU SIMILAR 25.673 -PROGRAMA NACIONAL DE SALUD SEXUAL Y PROCREACIÓN RESPONSABLE-, RESPECTO A LA CONCIENTIZACIÓN E INFORMACIÓN SOBRE INFECCIONES DE TRANSMISIÓN SEXUAL (ITS). (REF. S. 2060/23)</t>
  </si>
  <si>
    <t>HUALA: REPRODUCE PROYECTO DE LEY SOBRE REGIMEN PROMOCIONAL DE PRODUCCION REGIONAL AGROPECUARIA NO TRADICIONAL. (REF. S. 1988/23)</t>
  </si>
  <si>
    <t>HUALA: REPRODUCE PROYECTO DE LEY QUE DISPONE UNA CAMPAÑA DE CONCIENTIZACIÓN Y PREVENCIÓN DE CONSUMOS PROBLEMÁTICOS. (REF. 1603/23)</t>
  </si>
  <si>
    <t xml:space="preserve"> 16 24/04/2025 -</t>
  </si>
  <si>
    <t>HUALA: REPRODUCE PROYECTO DE LEY QUE INSTITUYE EL 2 DE MAYO DE CADA AÑO COMO "DIA NACIONAL PARA LA PREVENCION DEL BULLYING Y OTRAS FORMAS DE VIOLENCIA Y ACOSO ESCOLAR". (REF. S. 1243/23)</t>
  </si>
  <si>
    <t xml:space="preserve">AUDITORIA GENERAL DE LA NACION: COMUNICA DISPOSICION Nº 260/25, POR LA CUAL SE AUTORIZA A IMPUTAR AL FONDO ESPECIAL DE RESERVA CREADO POR DIS. Nº 256/24-AGN Y EFECTUAR DE LOS FONDOS ALLÍ RESERVADOS, EL PAGO POR LA ADQUISICION DE BIENES CON LA FIRMA TAGAM S.R.L.
</t>
  </si>
  <si>
    <t xml:space="preserve"> 18/12/2025 -</t>
  </si>
  <si>
    <t>18/12/2025</t>
  </si>
  <si>
    <t>HUALA: REPRODUCE PROYECTO DE LEY QUE ESTABLECE LA CAPACITACION OBLIGATORIA EN MATERIA DE TRASTORNOS DEL ESPECTRO AUTISTA PARA EL ABORDAJE INTEGRAL E INCLUSIVO Y ADECUACION DE LOS ENTORNOS EDUCATIVOS. (REF. S. 612/23)</t>
  </si>
  <si>
    <t>HUALA: REPRODUCE PROYECTO DE LEY QUE MODIFICA SU SIMILAR 12.346 - COMISION NACIONAL DE COORDINACION DE TRANSPORTE -RESPECTO DE LA COMUNICACIÓN INTEGRAL EN MEDIOS DE TRANSPORTE. (REF. S. 899/23)</t>
  </si>
  <si>
    <t>HUALA: REPRODUCE PROYECTO DE LEY QUE DECLARA MONUMENTO NATURAL, EN LOS TERMINOS DEL ART. 8 DE LA LEY 22.351, AL VENADO DE LA PAMPA O CIERVO PAMPEANO. (REF. S. 721/23)</t>
  </si>
  <si>
    <t xml:space="preserve"> 22/05/2025 -  -</t>
  </si>
  <si>
    <t xml:space="preserve"> 04/04/2025 - 04/03/2026 -</t>
  </si>
  <si>
    <t>TERENZI: PROYECTO DE LEY QUE MODIFICA SU SIMILAR 26.209 - LEY NACIONAL DE CATASTRO.</t>
  </si>
  <si>
    <t xml:space="preserve"> 20/03/2025 -</t>
  </si>
  <si>
    <t xml:space="preserve">TERENZI: REPRODUCE PROYECTO DE LEY QUE MODIFICA EL ART. 611 DEL CODIGO CIVIL Y COMERCIAL DE LA NACION, RESPECTO A GUARDA DE HECHO. 
(REF. S. 1021/23)
</t>
  </si>
  <si>
    <t>FAMA: REPRODUCE PROYECTO DE LEY QUE DECLARA CAPITAL NACIONAL DE LA NUEZ, AL CORREDOR CONOCIDO COMO "RUTA DE LA NUEZ", CONFORMADO POR DIVERSOS DPTOS. DE LA PROV. DE CATAMARCA. (REF. S. 1189/23)</t>
  </si>
  <si>
    <t xml:space="preserve">FAMA: REPRODUCE PROYECTO DE LEY QUE DECLARA CAPITAL NACIONAL DEL MEMBRILLO AL DPTO. ANDALGALA, PROV. DE CATAMARCA. (REF. S. 822/23)
</t>
  </si>
  <si>
    <t>FAMA: REPRODUCE PROYECTO DE LEY QUE DECLARA COMO FIESTA NACIONAL AL "FESTIVAL DEL MEMBRILLO" QUE SE CELEBRA ANUALMENTE EN LA LOCALIDAD DE LAS JUNTAS, DEPARTAMENTO AMBATO, PROVINCIA DE CATAMARCA. (REF. S. 823/23)</t>
  </si>
  <si>
    <t xml:space="preserve">  - 02/07/2025 -</t>
  </si>
  <si>
    <t xml:space="preserve">JUNTA ELECTORAL NACIONAL - DISTRITO RIO NEGRO: REMITE COPIA DE LA RENUNCIA FORMULADA POR LA SRA. MARIA LORENA VILLAVERDE, AL CARGO DE SENADORA NACIONAL POR EL DISTRITO DE RIO NEGRO PARA EL QUE FUE ELECTA EN LAS ELECCIONES DEL 26 DE OCTUBRE DE 2025.
</t>
  </si>
  <si>
    <t>ABAD: PROYECTO DE LEY QUE DECLARA COMO RESIDUOS PELIGROSOS A LOS MEDICAMENTOS POS CONSUMO QUE SE ALMACENAN EN DOMICILIOS PARTICULARES.</t>
  </si>
  <si>
    <t>KRONEBERGER Y OTROS: PROYECTO DE LEY QUE INCORPORA AL CALENDARIO NACIONAL DE VACUNACIÓN, CON CARÁCTER GRATUITO, LA VACUNA ANTIMENINGOCOCICA PARA EL SEROGRUPO B.</t>
  </si>
  <si>
    <t xml:space="preserve"> KRONEBERGER, DANIEL RICARDO - ZIMMERMANN, VICTOR - VALENZUELA, MERCEDES GABRIELA - TERENZI, EDITH ELIZABETH - FAMA, FLAVIO SERGIO - OLALLA, STELLA MARIS - BLANCO, PABLO DANIEL - LOSADA, CAROLINA -</t>
  </si>
  <si>
    <t>LEAVY: PROYECTO DE LEY QUE MODIFICA EL ART 14 DE SU SIMILAR 48 - JURISDICCIÓN Y COMPETENCIA DE LOS TRIBUNALES NACIONALES -, SOBRE LOS CASOS DE ARBITRARIEDAD.</t>
  </si>
  <si>
    <t>JURI Y OTROS: PROYECTO DE LEY QUE MODIFICA EL ART. 90 DE SU SIMILAR 27.431 - PRESUPUESTO ADMINISTRACION NACIONAL EJERCICIO 2018-, SOBRE MEJORA DE LA COMPETITIVIDAD AEREA.</t>
  </si>
  <si>
    <t xml:space="preserve"> SUÁREZ, RODOLFO ALEJANDRO - JURI, MARIANA - VALENZUELA, MERCEDES GABRIELA - BLANCO, PABLO DANIEL - ZIMMERMANN, VICTOR - LOSADA, CAROLINA - KRONEBERGER, DANIEL RICARDO - FAMA, FLAVIO SERGIO -</t>
  </si>
  <si>
    <t>21/03/2025</t>
  </si>
  <si>
    <t>DURE Y OTROS: PROYECTO DE RESOLUCIÓN QUE CITA AL MINISTRO DE ECONOMIA DE LA NACION, LUIS ANDRES CAPUTO Y OTROS FUNCIONARIOS, DE CONFORMIDAD AL ART. 71 DE LA C.N. Y EL ART. 214 DEL REGLAMENTO DE LA H. CAMARA, A FIN DE BRINDAR INFORME EN RELACION A LA BAJA DE LOS CONTRATOS DE MANTENIMIENTO DE LAS RUTAS EN TODO EL PAIS Y SUS CONSECUENCIAS EN LA PATAGONIA.</t>
  </si>
  <si>
    <t xml:space="preserve"> 15 24/04/2025 -</t>
  </si>
  <si>
    <t xml:space="preserve"> RODAS, ANTONIO JOSÉ - GIMÉNEZ, NORA DEL VALLE - CORPACCI, LUCÍA BENIGNA - GIMÉNEZ NAVARRO, MARÍA CELESTE - MOISES, MARÍA CAROLINA - MENDOZA, SANDRA MARIELA - DURÉ, MARÍA EUGENIA - KIRCHNER, ALICIA MARGARITA ANTONIA - DOÑATE, CLAUDIO MARTÍN - LINARES, CARLOS ALBERTO - PILATTI VERGARA, MARÍA INÉS - GARCÍA LARRABURU, SILVINA MARCELA - PARRILLI, OSCAR ISIDRO - SAPAG, SILVIA ESTELA  - LÓPEZ, MARÍA FLORENCIA - LEWANDOWSKI, MARCELO NÉSTOR - SALINO, FERNANDO ALDO - BENSUSÁN, DANIEL PABLO -</t>
  </si>
  <si>
    <t>LEWANDOWSKI: PROYECTO DE LEY QUE DECLARA A LA CDAD. DE ROSARIO, PROV. DE SANTA FE, CAPITAL NACIONAL DE LA INDUSTRIA METALURGICA DE LA REP. ARGENTINA.</t>
  </si>
  <si>
    <t xml:space="preserve">  - 26/08/2025 -</t>
  </si>
  <si>
    <t xml:space="preserve"> 04/03/2026 - 21/03/2025 -</t>
  </si>
  <si>
    <t>26/08/2025</t>
  </si>
  <si>
    <t>GARCIA LARRABURU: PROYECTO DE LEY QUE MODIFICA SU SIMILAR 27.705 -PLAN DE PAGO DE DEUDA PREVISIONAL-  RESPECTO DE EXTENDER EL PLAZO DE LA MORATORIA PARA EL ACCESO A LAS PRESTACIONES JUBILATORIAS.</t>
  </si>
  <si>
    <t>GARCIA LARRABURU: PROYECTO DE LEY SOBRE REGULACION DE LA PUBLICIDAD Y PROMOCION DE MEDICAMENTOS.</t>
  </si>
  <si>
    <t>SAPAG: PROYECTO DE LEY SOBRE INCLUSION LABORAL DE PERSONAS CON DISCAPACIDAD EN PROVEEDORES DEL ESTADO.</t>
  </si>
  <si>
    <t>SAPAG: PROYECTO DE LEY QUE MODIFICA SU SIMILAR 27.275 -DERECHO DE ACCESO A LA INFORMACION PUBLICA- SOBRE FORTALECIMIENTO DE LA TRANSPARENCIA ACTIVA</t>
  </si>
  <si>
    <t xml:space="preserve">JUNTA ELECTORAL NACIONAL - DISTRITO RIO NEGRO: REMITE COPIA DEL ACTA Nº 269 Y 270/25, SOBRE EL RESULTADO DE LAS ELECCIONES NACIONALES CELEBRADAS EL 26 DE OCTUBRE DE 2025, PARA LA CATEGORIA DE SENADORES Y DIPUTADOS NACIONALES.
</t>
  </si>
  <si>
    <t xml:space="preserve">  18/03/2026 -  28/11/2025 -</t>
  </si>
  <si>
    <t xml:space="preserve"> 01/12/2025 - 04/11/2025 -</t>
  </si>
  <si>
    <t xml:space="preserve"> 26/11/2025 - 19/11/2025 -</t>
  </si>
  <si>
    <t xml:space="preserve"> 01/12/2025 - 07/11/2025 -</t>
  </si>
  <si>
    <t>07/11/2025</t>
  </si>
  <si>
    <t>19/11/2025</t>
  </si>
  <si>
    <t>01/12/2025</t>
  </si>
  <si>
    <t xml:space="preserve">  28/11/2025            </t>
  </si>
  <si>
    <t>PARRILLI Y OTROS: PROYECTO DE LEY SOBRE SISTEMA DE AFILIACION LIBRE Y DIGITAL A LOS PARTIDOS POLITICOS.</t>
  </si>
  <si>
    <t xml:space="preserve"> 19/03/2025 -</t>
  </si>
  <si>
    <t xml:space="preserve"> GARCÍA LARRABURU, SILVINA MARCELA - CORA, STEFANIA - DURÉ, MARÍA EUGENIA - PILATTI VERGARA, MARÍA INÉS - CORPACCI, LUCÍA BENIGNA - GIMÉNEZ NAVARRO, MARÍA CELESTE - SAPAG, SILVIA ESTELA  - KIRCHNER, ALICIA MARGARITA ANTONIA - LÓPEZ, MARÍA FLORENCIA - MENDOZA, SANDRA MARIELA - MANZUR, JUAN LUIS - LEAVY, SERGIO NAPOLEÓN - LINARES, CARLOS ALBERTO - MAYANS, JOSÉ MIGUEL ÁNGEL - BENSUSÁN, DANIEL PABLO - DOÑATE, CLAUDIO MARTÍN - REJAL, JESÚS FERNANDO - NEDER, JOSÉ EMILIO - GONZÁLEZ, MARÍA TERESA MARGARITA - LEDESMA ABDALA DE ZAMORA, CLAUDIA - ANDRADA, GUILLERMO EDUARDO - PARRILLI, OSCAR ISIDRO - FERNÁNDEZ SAGASTI, ANABEL - RECALDE, MARIANO - LEWANDOWSKI, MARCELO NÉSTOR -</t>
  </si>
  <si>
    <t>RODAS: REPRODUCE PROYECTO DE LEY DE PRESUPUESTOS MÍNIMOS DE PROTECCIÓN AMBIENTAL EN EL CIERRE DE MINAS. (REF. 17/2023).</t>
  </si>
  <si>
    <t xml:space="preserve"> 18/03/2025 -</t>
  </si>
  <si>
    <t xml:space="preserve"> 16/10/2025 - 16/10/2025 -</t>
  </si>
  <si>
    <t>CONSEJO DE LA MAGISTRATURA: PONE EN CONOCIMIENTO EL INFORME ANUAL DEL REGISTRO DE PRISIONES PREVENTIVAS 2024, CONFORME A LO ESTABLECIDO EN EL ART. 9 DE LA LEY 24.390 Y S/M., APROBADO POR RESOLUCION 211/25, Y ADJUNTA COPIA CERTIFICADA EN SOPORTE MAGNETICO.</t>
  </si>
  <si>
    <t xml:space="preserve">AVILA: PROYECTO DE LEY QUE CREA LA REVISION OBLIGATORIA DE INSTALACIONES DE GAS NATURAL.
</t>
  </si>
  <si>
    <t xml:space="preserve"> 14 24/04/2025 -</t>
  </si>
  <si>
    <t xml:space="preserve">AVILA: PROYECTO DE LEY DE EXTENSIÓN DEL VENCIMIENTO DE FACTURAS DE SERVICIOS DOMÉSTICOS PARA PERSONAS BENEFICIARIAS DE HABERES JUBILATORIOS.
</t>
  </si>
  <si>
    <t>REJAL Y ANDRADA: PROYECTO DE LEY QUE MODIFICA SU SIMILAR 23.966 -IMPUESTOS-, RESPECTO DE LOS PORCENTAJES ASIGNADOS A LAS DIFERENTES FINALIDADES RECAUDATORIAS.</t>
  </si>
  <si>
    <t>PILATTI VERGARA: PROYECTO DE LEY QUE GARANTIZA LA REPRESENTACIÓN EQUITATIVA DE GÉNEROS EN EL ÁMBITO DE LA EDUCACIÓN SUPERIOR.</t>
  </si>
  <si>
    <t xml:space="preserve"> 14/03/2025 -</t>
  </si>
  <si>
    <t>BEDIA: PROYECTO DE LEY DE REGULACION DEL USO DE DISPOSITIVOS DIGITALES PERSONALES EN LOS ESTABLECIMIENTOS EDUCATIVOS NACIONALES.</t>
  </si>
  <si>
    <t xml:space="preserve"> BEDIA, VILMA FACUNDA -</t>
  </si>
  <si>
    <t>LEAVY: PROYECTO DE LEY QUE MODIFICA EL TERCER PÁRRAFO DEL INCISO A) DEL ART. 85 DE SU SIMILAR DE -IMPUESTO A LAS GANANCIAS- T.O. 2019 Y S/M, RESPECTO DE ACTUALIZAR LA DEDUCCIÓN DE INTERESES DE CRÉDITOS HIPOTECARIOS.</t>
  </si>
  <si>
    <t xml:space="preserve"> 13 24/04/2025 -</t>
  </si>
  <si>
    <t xml:space="preserve"> 13/03/2025 -</t>
  </si>
  <si>
    <t>GALARETTO Y OTRAS: PROYECTO DE LEY SOBRE AUTODIAGNÓSTICO DE LA ADICCIÓN AL ALCOHOL.</t>
  </si>
  <si>
    <t xml:space="preserve"> GALARETTO, EDUARDO HORACIO - VALENZUELA, MERCEDES GABRIELA - OLALLA, STELLA MARIS -</t>
  </si>
  <si>
    <t>GALARETTO Y OTRAS: PROYECTO DE LEY QUE DISPONE LA REALIZACION DE CAMPAÑAS PUBLICITARIAS PERMANENTES ORIENTADAS A PREVENIR SOBRE EL CONSUMO DE ESTUPEFACIENTES Y LOS RIESGOS PARA LA SALUD QUE DEVIENEN DEL ABUSO DE ESTAS SUSTANCIAS.</t>
  </si>
  <si>
    <t>PARRILLI Y OTROS: PROYECTO DE RESOLUCION QUE CITA A LA MINISTRA DE SEGURIDAD DE LA NACION SRA. PATRICIA BULLRICH Y A OTROS FUNCIONARIOS, DE CONFORMIDAD AL ART. 71 DE LA C.N. Y EL ART. 214 DEL REGLAMENTO DE LA H. CAMARA, A EFECTOS DE DAR LAS EXPLICACIONES PERTINENTES RESPECTO AL AVION PRIVADO PROCEDENTE DE LA CDAD. DE MIAMI, EL 25 DE FEBRERO DE 2025.</t>
  </si>
  <si>
    <t xml:space="preserve"> PARRILLI, OSCAR ISIDRO - MAYANS, JOSÉ MIGUEL ÁNGEL - LÓPEZ, MARÍA FLORENCIA - FERNÁNDEZ SAGASTI, ANABEL - DI TULLIO, JULIANA - LINARES, CARLOS ALBERTO - KIRCHNER, ALICIA MARGARITA ANTONIA - SAPAG, SILVIA ESTELA  - PILATTI VERGARA, MARÍA INÉS - DURÉ, MARÍA EUGENIA - CORA, STEFANIA - REJAL, JESÚS FERNANDO - GONZÁLEZ, MARÍA TERESA MARGARITA - CORPACCI, LUCÍA BENIGNA - LEAVY, SERGIO NAPOLEÓN - RECALDE, MARIANO - ANDRADA, GUILLERMO EDUARDO - GARCÍA LARRABURU, SILVINA MARCELA -</t>
  </si>
  <si>
    <t>CAMARA NACIONAL ELECTORAL: REMITE COPIA DE LA RESOLUCION DICTADA POR ESE TRIBUNAL, RELACIONADA CON LA CREACION DEL CARGO DE FISCAL GENERAL ELECTORAL.</t>
  </si>
  <si>
    <t xml:space="preserve"> 06/10/2025 -</t>
  </si>
  <si>
    <t>06/10/2025</t>
  </si>
  <si>
    <t>AVILA: PROYECTO DE LEY QUE CREA EL PLAN FEDERAL DE FORTALECIMIENTO DE LA ALFABETIZACION.</t>
  </si>
  <si>
    <t>AVILA: PROYECTO DE LEY SOBRE CENSO FEDERAL DE INFRAESTRUCTURA EDUCATIVA.</t>
  </si>
  <si>
    <t>DE ANGELI: PROYECTO DE LEY QUE TRANSFIERE A TÍTULO GRATUITO A FAVOR DE LA COMUNA EL SOLAR PROV. DE ENTRE RÍOS, EL DOMINIO SOBRE UNA PARCELA DEL TERRENO PROPIEDAD DEL ESTADO NACIONAL, UBICADO EN EL DPTO. LA PAZ PROV. DE ENTRE RIOS.</t>
  </si>
  <si>
    <t xml:space="preserve"> 12/03/2025 -</t>
  </si>
  <si>
    <t>VALENZUELA Y OTRAS: PROYECTO DE LEY QUE CREA EL PROGRAMA CULTURAL Y TURISTICO "RUTA SANMARTINIANA".</t>
  </si>
  <si>
    <t xml:space="preserve"> VALENZUELA, MERCEDES GABRIELA - OLALLA, STELLA MARIS - JURI, MARIANA - VISCHI, EDUARDO ALEJANDRO -</t>
  </si>
  <si>
    <t>RECALDE: PROYECTO DE LEY QUE PRORROGA POR EL TERMINO DE 2 AÑOS, EL PLAZO ESTABLECIDO EN EL ART. 4 DEL CAPITULO II DE LA LEY N° 27.705, DE PLAN DE PAGO DE DEUDA PREVISIONAL.</t>
  </si>
  <si>
    <t>DE ANGELI Y OTROS: PROYECTO DE LEY QUE INSTITUYE EL 3 DE FEBRERO COMO DIA PATRIO, EN CONMEMORACION DEL ANIVERSARIO DE LA "BATALLA DE CASEROS".</t>
  </si>
  <si>
    <t xml:space="preserve"> 12 24/04/2025 -</t>
  </si>
  <si>
    <t xml:space="preserve"> DE ANGELI, ALFREDO LUIS - VALENZUELA, MERCEDES GABRIELA - OLALLA, STELLA MARIS - GALARETTO, EDUARDO HORACIO -</t>
  </si>
  <si>
    <t>DE PEDRO Y DI TULLIO: PROYECTO DE LEY QUE RESTABLECE LA VIGENCIA DEL "FONDO DE FORTALECIMIENTO FISCAL DE LA PROVINCIA DE BUENOS AIRES".</t>
  </si>
  <si>
    <t xml:space="preserve"> 11/03/2025 -</t>
  </si>
  <si>
    <t xml:space="preserve"> DE PEDRO, EDUARDO ENRIQUE - DI TULLIO, JULIANA -</t>
  </si>
  <si>
    <t>LOSADA Y OTROS: PROYECTO DE LEY QUE MODIFICA EL CODIGO PENAL DE LA NACION, SOBRE FALSAS DENUNCIAS.</t>
  </si>
  <si>
    <t xml:space="preserve"> 04/06/2025 -  -</t>
  </si>
  <si>
    <t xml:space="preserve"> 21/03/2025 - 04/03/2026 -</t>
  </si>
  <si>
    <t xml:space="preserve"> LOSADA, CAROLINA - VALENZUELA, MERCEDES GABRIELA - FAMA, FLAVIO SERGIO - ZIMMERMANN, VICTOR - BLANCO, PABLO DANIEL - SUÁREZ, RODOLFO ALEJANDRO -</t>
  </si>
  <si>
    <t>04/06/2025</t>
  </si>
  <si>
    <t>LOSADA Y OTROS: PROYECTO DE LEY QUE INCORPORA EL ART. 157 TER AL CODIGO PENAL DE LA NACIÓN, RESPECTO DE TIPIFICAR EL DELITO DE OBTENCION ILEGITIMA DE DATOS CONFIDENCIALES "PHISHING".</t>
  </si>
  <si>
    <t xml:space="preserve"> LOSADA, CAROLINA - VALENZUELA, MERCEDES GABRIELA - FAMA, FLAVIO SERGIO - BLANCO, PABLO DANIEL - SUÁREZ, RODOLFO ALEJANDRO -</t>
  </si>
  <si>
    <t xml:space="preserve">AUDITORIA GENERAL DE LA NACION: ELEVA PARA SU CONSIDERACION EL PROYECTO DEL PROGRAMA DE ACCION ANUAL 2026 (PAA 2026).
</t>
  </si>
  <si>
    <t>24/09/2025</t>
  </si>
  <si>
    <t>GADANO: PROYECTO DE LEY QUE MODIFICA SU SIMILAR 26.061- PROTECCION INTEGRAL DE LOS DERECHOS DE LAS NIÑAS, NIÑOS Y ADOLESCENTES-, RESPECTO DE INCORPORAR GARANTIAS EN LOS PROCEDIMIENTOS JUDICIALES Y ADMINISTRATIVOS.</t>
  </si>
  <si>
    <t>BLANCO: PROYECTO DE RESOLUCION QUE DECLARA DE INTERES EL LIBRO "DON MILIN, EN EL CORAZON DE LA ISLA DE TIERRA DEL FUEGO", DEL AUTOR FUEGUINO ADRIAN DARIO FERNANDEZ, Y ORDENA SU IMPRESIÓN.</t>
  </si>
  <si>
    <t xml:space="preserve"> 11 24/04/2025 -</t>
  </si>
  <si>
    <t>BLANCO: PROYECTO DE LEY QUE INSTITUYE EL 11 DE ABRIL COMO DIA NACIONAL DEL MEDICO GERIATRA.</t>
  </si>
  <si>
    <t xml:space="preserve">  - 05/06/2025 -</t>
  </si>
  <si>
    <t>AVILA: PROYECTO DE LEY QUE DECLARA MONUMENTO HISTORICO NACIONAL, A LA CASA DONDE NACIO JULIO ARGENTINO ROCA, UBICADA EN LA CALLE LUCAS CORDOBA AL 500, EL COLMENAR (LAS TALITAS), DPTO. DE TAFI VIEJO, PROV. DE TUCUMAN.</t>
  </si>
  <si>
    <t xml:space="preserve">AVILA: PROYECTO DE LEY QUE MODIFICA EL ART. 83 DEL CODIGO PENAL, RESPECTO DE AGRAVAR LA PENA EN EL DELITO DE INSTIGACION AL SUICIDIO, EN EL CONTEXTO DE VIOLENCIA DE GENERO.
</t>
  </si>
  <si>
    <t>AVILA: PROYECTO DE LEY SOBRE LICENCIA POR ADOPCION.</t>
  </si>
  <si>
    <t>AVILA: PROYECTO DE LEY QUE REGULA EL USO DE BILLETERAS VIRTUALES POR MENORES DE EDAD.</t>
  </si>
  <si>
    <t>AVILA: PROYECTO DE LEY QUE INSTITUYE EL ULTIMO MIERCOLES DEL MES DE ABRIL DE CADA  AÑO, COMO "DIA NACIONAL DE LA MISOFONIA".</t>
  </si>
  <si>
    <t xml:space="preserve">PRESIDENTE DE LA JUNTA ELECTORAL NACIONAL DE LA CAPITAL FEDERAL: COMUNICA SU CONSTITUCION Y LA NOMINA DE SUS INTEGRANTES EN LOS TERMINOS ESTABLECIDOS EN LOS ARTS. 49 Y 50 DEL CODIGO ELECTORAL NACIONAL.
</t>
  </si>
  <si>
    <t>10/09/2025</t>
  </si>
  <si>
    <t>BENSUSAN: REPRODUCE EL PROYECTO DE LEY QUE SUSTITUYE EL ARTICULO 92 DE SU SIMILAR 26.206 - EDUCACION NACIONAL-, SOBRE LA FORMACION INTEGRAL PARA NIÑAS, NIÑOS Y ADOLESCENTES EN EL RECONOCIMIENTO Y DEFENSA DE LOS DERECHOS DE TODAS LAS PERSONAS. (REF.  S. 1491/23)</t>
  </si>
  <si>
    <t xml:space="preserve">BENSUSAN: REPRODUCE EL PROYECTO DE LEY QUE MODIFICA SU SIMILAR 26.877 -REPRESENTACIÓN ESTUDIANTIL- SOBRE LA PROMOCIÓN DE LA IGUALDAD DE DERECHOS DE LAS PERSONAS SIN IMPORTAR SU IDENTIDAD DE GÉNERO, ORIENTACIÓN SEXUAL O EXPRESIÓN. (REF. S. 1317/23)
</t>
  </si>
  <si>
    <t>BENSUSAN: REPRODUCE EL PROYECTO DE LEY QUE MODIFICA SU SIMILAR 11.179 -CÓDIGO PENAL-, RESPECTO DE LOS DELITOS DE ABUSO SEXUAL. (REF. S. 1033/23).</t>
  </si>
  <si>
    <t>BENSUSAN: REPRODUCE EL PROYECTO DE LEY QUE DEROGA EL CAPITULO VIII, DEL TITULO VI, DEL LIBRO SEGUNDO DE SU SIMILAR 11.179 (T.O. 1984 ACTUALIZADO) -CODIGO PENAL-. (REF. S. 1318/23)</t>
  </si>
  <si>
    <t>BENSUSAN: REPRODUCE EL PROYECTO DE LEY DE PREVENCION DEL SOBREENDEUDAMIENTO PERSONAL Y/O FAMILIAR. (REF. S. 2038/23)</t>
  </si>
  <si>
    <t>BENSUSAN: REPRODUCE EL PROYECTO DE LEY SOBRE FLEXIBILIZACION DE LA FORMALIDAD CONSTITUTIVA DE LAS ASOCIACIONES CIVILES. (REF. S. 1705/23)</t>
  </si>
  <si>
    <t>DOÑATE: PROYECTO DE LEY DE PROMOCION DEL BUEN TRATO Y PROTECCION INTEGRAL PARA PREVENIR, SANCIONAR Y ERRADICAR LA VIOLENCIA CONTRA LAS PERSONAS MAYORES.</t>
  </si>
  <si>
    <t xml:space="preserve"> 10 24/04/2025 -</t>
  </si>
  <si>
    <t xml:space="preserve"> 10/03/2025 -</t>
  </si>
  <si>
    <t>BENSUSAN: REPRODUCE PROYECTO DE LEY QUE MODIFICA SU SIMILAR 24.464 - SISTEMA FEDERAL DE LA VIVIENDA- RESPECTO DE DEFINIR CRITERIOS INDICATIVOS DE SELECCIÓN DE ADJUDICATARIOS DE VIVIENDAS CONSTRUIDAS O CREDITOS OTORGADOS CON FONDOS DEL FONAVI, Y ESTABLECE CUPOS PREFERENCIALES PARA JOVENES Y PERSONAS CON DISCAPACIDAD. (REF. S-1018/23)</t>
  </si>
  <si>
    <t>BENSUSAN: REPRODUCE PROYECTO DE LEY DE PROTECCION DE LAS VIVIENDAS FINANCIADAS CON RECURSOS DEL FONDO NACIONAL DE LA VIVIENDA (FONAVI). (REF. S.914/23).</t>
  </si>
  <si>
    <t>PE</t>
  </si>
  <si>
    <t>DC</t>
  </si>
  <si>
    <t>JEFATURA DE GABINETE: REMITE MENSAJE Nº 15/26 QUE COMUNICA EL DICTADO DEL DECRETO DE NECESIDAD Y URGENCIA Nº 88/26, QUE CREA LA OBRA SOCIAL DE LAS FUERZAS ARMADAS (OSFA) Y LA OBRA SOCIAL DE LAS FUERZAS FEDERALES DE SEGURIDAD (OSFFESEG) Y DISUELVE EL INSTITUTO DE OBRA SOCIAL DE LAS FUERZAS ARMADAS (IOSFA).</t>
  </si>
  <si>
    <t>BICAMERAL PERMANENTE DE TRÁMITE LEGISLATIVO (LEY 26.122)</t>
  </si>
  <si>
    <t>BENSUSAN: REPRODUCE PROYECTO DE LEY QUE MODIFICA SU SIMILAR 11.179 -CODIGO PENAL- RESPECTO DE LA NO PROCEDENCIA DE LA SUSPENSIÓN DEL JUICIO A PRUEBA EN DELITOS QUE IMPLIQUEN VIOLENCIA DE GÉNERO. (REF. S.1316/23)</t>
  </si>
  <si>
    <t xml:space="preserve">MINISTERIO DE ECONOMÍA-CONTADURÍA GENERAL DE LA NACIÓN: REMITE LOS DESCARGOS PRODUCIDOS POR LOS ORGANISMOS EN RELACION A LAS OBSERVACIONES INTERPUESTAS POR AGN A DISTINTAS RESOLUCIONES SOBRE LA CUENTA DE INVERSION DEL EJERCICIO 2020.- 
</t>
  </si>
  <si>
    <t>CE</t>
  </si>
  <si>
    <t>JEFATURA DE GABINETE: REMITE INFORME DEL ESTADO DEL AMBIENTE DE LA REPUBLICA ARGENTINA, AÑO 2024.</t>
  </si>
  <si>
    <t xml:space="preserve"> 19/02/2026 -</t>
  </si>
  <si>
    <t>BENSUSAN: REPRODUCE PROYECTO DE LEY DE IMPLEMENTACION PROGRESIVA DE PRACTICAS SUSTENTABLES EN INSTITUCIONES EDUCATIVAS. (REF. S-840/23)</t>
  </si>
  <si>
    <t>BENSUSAN: REPRODUCE PROYECTO DE LEY QUE MODIFICA SU SIMILAR 26.485 - PROTECCION INTEGRAL PARA PREVENIR, SANCIONAR Y ERRADICAR LA VIOLENCIA CONTRA LAS MUJERES -, RESPECTO DE PROHIBIR AL AGRESOR LA TENENCIA O PORTACIÓN DE ARMAS DE FUEGO. (REF. S. 438/23)</t>
  </si>
  <si>
    <t>BENSUSAN: REPRODUCE PROYECTO DE LEY QUE MODIFICA EL INC. C) DEL ART. 13, DE SU SIMILAR 24.449 -TRANSITO-, RESPECTO DE LA DETERMINACION DE LOS PERIODOS DE VIGENCIA DE LA LICENCIA NACIONAL DE CONDUCIR, POR PARTE DE LA AUTORIDAD EXPEDIDORA-. (REF. S. 841/23)</t>
  </si>
  <si>
    <t>BENSUSAN: REPRODUCE PROYECTO DE LEY QUE CREA EL REGISTRO NACIONAL DE PERSONAS DEUDORAS ALIMENTARIAS EN MORA. (REF. S. 9/23)</t>
  </si>
  <si>
    <t xml:space="preserve">JEFATURA DE GABINETE: REMITE MENSAJE Nº 14/26 QUE COMUNICA EL DICTADO DEL DECRETO DE NECESIDAD Y URGENCIA Nº 80/26, QUE DECLARA LA EMERGENCIA IGNEA EN LA PROVINCIA DE SANTA CRUZ.
</t>
  </si>
  <si>
    <t xml:space="preserve"> 13/02/2026 -</t>
  </si>
  <si>
    <t>13/02/2026</t>
  </si>
  <si>
    <t>BENSUSAN: REPRODUCE PROYECTO DE LEY QUE MODIFICA SU SIMILAR 26.058 -EDUCACION TECNICO PROFESIONAL-, SOBRE PARAMETROS PARA LA DISTRIBUCION Y GESTION DEL FONDO NACIONAL PARA LA EDUCACION TECNICO PROFESIONAL, Y OTRAS CUESTIONES CONEXAS. (REF. S. 915/23)</t>
  </si>
  <si>
    <t>JEFATURA DE GABINETE: REMITE MENSAJE Nº 13/26 QUE COMUNICA EL DICTADO DEL DECRETO DE NECESIDAD Y URGENCIA Nº 73/26, QUE DECLARA LA EMERGENCIA IGNEA EN LAS PROVINCIAS DEL CHUBUT, RIO NEGRO, NEUQUEN Y LA PAMPA POR EL PLAZO DE UN (1) AÑO.</t>
  </si>
  <si>
    <t xml:space="preserve">JEFATURA DE GABINETE: REMITE MENSAJE N° 12/26, QUE COMUNICA EL DICTADO DEL DECRETO DE FACULTADES DELEGADAS Nº59/26, SOBRE ALÍCUOTAS DEL D.E. QUE GRAVA LA EXPORTACIÓN DE ACEITES CRUDOS DE PETRÓLEO PROVENIENTES DE YACIMIENTOS CONVENCIONALES.
</t>
  </si>
  <si>
    <t>AUDITORIA GENERAL DE LA NACION: ELEVA EL ANTEPROYECTO DE PRESUPUESTO GENERAL DE GASTOS Y CÁLCULO DE RECURSOS PARA LA AUDITORÍA GENERAL DE LA NACIÓN, CORRESPONDIENTE AL EJERCICIO 2026.</t>
  </si>
  <si>
    <t xml:space="preserve">JEFATURA DE GABINETE: REMITE NOTA POR LA CUAL SE ACOMPAÑA COPIA DE LA DECISIÓN ADMINISTRATIVA N° 2/26 QUE MODIFICO EL PRESUPUESTO DE LA ADMINISTRACIÓN PÚBLICA NACIONAL, EN VIRTUD DE LO DISPUESTO EN EL ART. 37 DE LA LEY 24.156 - ADMINISTRACIÓN FINANCIERA Y DE LOS SISTEMAS DE CONTROL DEL SECTOR PUBLICO NACIONAL -.
</t>
  </si>
  <si>
    <t xml:space="preserve"> 10/02/2026 -</t>
  </si>
  <si>
    <t>10/02/2026</t>
  </si>
  <si>
    <t>COMISIÓN DE SUPERVISIÓN PARLAMENTARIA DE LA OFICINA DE PRESUPUESTO DEL CONGRESO OPC (LEY 27.343)</t>
  </si>
  <si>
    <t xml:space="preserve">JEFATURA DE GABINETE: REMITE MENSAJE Nº 11/26 QUE COMUNICA EL DICTADO DEL DECRETO DE NECESIDAD Y URGENCIA Nº 49/26, QUE PRORROGA LA EMERGENCIA DEL SECTOR ENERGÉTICO - PRECIO DE VENTA EN EL MERCADO INTERNO DEL GNL.
</t>
  </si>
  <si>
    <t xml:space="preserve"> 09/02/2026 -</t>
  </si>
  <si>
    <t>MENDOZA Y OTROS: PROYECTO DE LEY QUE CREA EL PROGRAMA FEDERAL "INCLUIR SALUD".</t>
  </si>
  <si>
    <t xml:space="preserve"> MENDOZA, SANDRA MARIELA - CORPACCI, LUCÍA BENIGNA - MANZUR, JUAN LUIS -</t>
  </si>
  <si>
    <t>JEFATURA DE GABINETE: REMITE MENSAJE N° 8/26, QUE COMUNICA EL DICTADO DEL DECRETO DE NECESIDAD Y URGENCIA Nº 41/26, QUE MODIFICA ART. 226 Y 323 CA - RESOLUCION ANTICIPADA MATERIA DE ORIGEN.</t>
  </si>
  <si>
    <t xml:space="preserve"> 05/02/2026 -</t>
  </si>
  <si>
    <t>05/02/2026</t>
  </si>
  <si>
    <t>BENSUSAN: PROYECTO DE LEY QUE PRORROGA POR EL TERMINO DE DOS AÑOS LA VIGENCIA DEL PLAZO ESTABLECIDO EN EL CAPITULO II DE LA LEY 27.705 - UNIDAD DE PAGO DE LA DEUDA PREVISIONAL</t>
  </si>
  <si>
    <t>JEFATURA DE GABINETE: REMITE MENSAJE N° 7/26, QUE COMUNICA EL DICTADO DEL DECRETO DE FACULTADES DELEGADAS Nº 44/26, QUE SUSTITUYE ANEXO I Y ARTÍCULOS DEL DECRETO N° 49/25 - VEHÍCULOS ELÉCTRICOS.</t>
  </si>
  <si>
    <t>BENSUSAN: PROYECTO DE LEY QUE INCORPORA EL ART. 2° BIS A SU SIMILAR 19.032 - INSTITUTO NACIONAL DE SERVICIOS SOCIALES PARA JUBILADOS Y PENSIONADOS- RESPECTO DE LA COBERTURA DEL 100% DE LOS MEDICAMENTOS QUE INTEGREN EL VADEMECUM DE MEDICAMENTOS ESENCIALES.</t>
  </si>
  <si>
    <t>BENSUSAN: PROYECTO DE LEY QUE MODIFICA SU SIMILAR 26.928 - SISTEMA DE PROTECCION INTEGRAL PARA PERSONAS TRASPLANTADAS -, RESPECTO AL CUMPLIMIENTO DE OBRAS SOCIALES Y OTRAS ENTIDADES DE SALUD Y OTRAS CUESTIONES CONEXAS.</t>
  </si>
  <si>
    <t>JEFATURA DE GABINETE: REMITE MENSAJE Nº 10/26 QUE COMUNICA EL DICTADO DEL DECRETO DE NECESIDAD Y URGENCIA Nº 34/26, POR EL QUE SUSTITUYE ARTÍCULOS 38 Y 60 DE LA LEY PARA EL PERSONAL MILITAR N° 19.101</t>
  </si>
  <si>
    <t>JEFATURA DE GABINETE: REMITE MENSAJE Nº 9/26 QUE COMUNICA EL DICTADO DEL DECRETO DE NECESIDAD Y URGENCIA Nº 26/26, POR EL QUE MODIFICA EL PLAN GAS.AR.</t>
  </si>
  <si>
    <t>AC</t>
  </si>
  <si>
    <t>MENSAJE N° 4/26 QUE SOLICITA ACUERDO A FIN DE POSIBILITAR UN NUEVO NOMBRAMIENTO PARA DESIGNAR VOCAL DE LA CAMARA FEDERAL DE CASACION PENAL, VOCALIA VII, AL DR. CARLOS ALBERTO MAHIQUES.</t>
  </si>
  <si>
    <t xml:space="preserve"> 9 18/03/2026 -</t>
  </si>
  <si>
    <t>DE ACUERDOS</t>
  </si>
  <si>
    <t>04/02/2026</t>
  </si>
  <si>
    <t xml:space="preserve">JEFATURA DE GABINETE: REMITE MENSAJE Nº 6/26 QUE COMUNICA EL DICTADO DEL DECRETO DE NECESIDAD Y URGENCIA Nº 17/26, QUE AUTORIZA AL TITULAR DEL PEN PARA AUSENTARSE DEL PAIS.
</t>
  </si>
  <si>
    <t>29/01/2026</t>
  </si>
  <si>
    <t xml:space="preserve">JEFATURA DE GABINETE: REMITE MENSAJE N° 5/26 QUE COMUNICA EL DICTADO DEL DECRETO DE NECESIDAD Y URGENCIA Nº 2/26, QUE APRUEBA EL ACUERDO MODIFICATORIO DEL ACTA DEL FARALLON NEGRO Y MODIFICA LEY N° 14.771 DE ENTE YACIMIENTOS MINEROS DE AGUA DE DIONISIO (YMAD). </t>
  </si>
  <si>
    <t xml:space="preserve"> 15/01/2026 -</t>
  </si>
  <si>
    <t xml:space="preserve"> 16/01/2026 -</t>
  </si>
  <si>
    <t>16/01/2026</t>
  </si>
  <si>
    <t>JEFATURA DE GABINETE: REMITE MENSAJE N° 4/26 QUE COMUNICA EL DICTADO DEL DECRETO DE FACULTADES DELEGADAS Nº 939/25, QUE PRORROGA LA DISMINUCION DE CONTRIBUCIONES PATRONALES - ESTABLECIMIENTOS EDUCATIVOS</t>
  </si>
  <si>
    <t xml:space="preserve">JEFATURA DE GABINETE: REMITE MENSAJE N° 3/26 QUE COMUNICA EL DICTADO DEL DECRETO DE FACULTADES DELEGADAS Nº 930/25, QUE SUSTITUYE EN EL ART. 3° DEL DCTO. N° 726 DEL 7 DE OCTUBRE DE 2025 - ALICUOTA DEL DERECHO DE EXPORTACION ALUMINIO.
</t>
  </si>
  <si>
    <t>JEFATURA DE GABINETE: REMITE COPIA DEL INFORME ELABORADO, SOBRE LA EJECUCION PRESUPUESTARIA DE LOS FONDOS FIDUCIARIOS DEL ESTADO NACIONAL CORRESPONDIENTE AL TERCER TRIMESTRE DE 2025.</t>
  </si>
  <si>
    <t>15/01/2026</t>
  </si>
  <si>
    <t>JEFATURA DE GABINETE: REMITE MENSAJE N° 2/26, QUE COMUNICA EL DICTADO DEL DECRETO DE NECESIDAD Y URGENCIA Nº 942/25, QUE PRORROGA HASTA EL 31 DE DICIEMBRE DE 2026, LA EMERGENCIA SANITARIA NACIONAL, CREA LA SECRETARIA NACIONAL DE DISCAPACIDAD Y ESTABLECE QUE EL MINISTERIO DE SALUD ACTUARA A TODOS SUS EFECTOS, COMO CONTINUADOR DE LA AGENCIA NACIONAL DE DISCAPACIDAD (ANDIS).</t>
  </si>
  <si>
    <t>ABAD: PROYECTO DE LEY DE PREVENCION Y LUCHA CONTRA LA ECONOMÍA DEL DELITO.</t>
  </si>
  <si>
    <t xml:space="preserve"> 9 24/04/2025 -</t>
  </si>
  <si>
    <t xml:space="preserve"> 07/03/2025 -</t>
  </si>
  <si>
    <t xml:space="preserve">JEFATURA DE GABINETE: REMITE MENSAJE N° 1/26 QUE COMUNICA EL DICTADO DEL DECRETO DE NECESIDAD Y URGENCIA Nº 941/25, QUE MODIFICA LA LEY DE INTELIGENCIA NACIONAL N° 25.520. </t>
  </si>
  <si>
    <t>JEFATURA DE GABINETE: REMITE NOTA POR LA CUAL SE ACOMPAÑA COPIA DE LA DECISIÓN ADMINISTRATIVA N° 39/25 QUE MODIFICO EL PRESUPUESTO DE LA ADMINISTRACIÓN PÚBLICA NACIONAL, EN VIRTUD DE LO DISPUESTO EN EL ART. 37 DE LA LEY 24.156 - ADMINISTRACIÓN FINANCIERA Y DE LOS SISTEMAS DE CONTROL DEL SECTOR PUBLICO NACIONAL -.</t>
  </si>
  <si>
    <t xml:space="preserve"> 07/01/2026 -</t>
  </si>
  <si>
    <t xml:space="preserve"> 08/01/2026 -</t>
  </si>
  <si>
    <t>08/01/2026</t>
  </si>
  <si>
    <t>JEFATURA DE GABINETE: REMITE EL INFORME ANUAL DEL AÑO 2024, ELABORADO POR LA AUTORIDAD DE CUENCA MATANZA RIACHUELO (ACUMAR), EN CUMPLIMIENTO DEL ART. 8° DE LA LEY 26.168, SOBRE INICIATIVAS, ACCIONES Y PROGRAMAS EJECUTADOS POR ESE ORGANISMO.</t>
  </si>
  <si>
    <t xml:space="preserve"> 02/01/2026 -</t>
  </si>
  <si>
    <t>02/02/2026</t>
  </si>
  <si>
    <t xml:space="preserve">JEFATURA DE GABINETE: REMITE NOTA POR LA CUAL SE ACOMPAÑA COPIA DE LA DECISIÓN ADMINISTRATIVA N° 38/25 QUE MODIFICO EL PRESUPUESTO DE LA ADMINISTRACIÓN PÚBLICA NACIONAL, EN VIRTUD DE LO DISPUESTO EN EL ART. 37 DE LA LEY 24.156 - ADMINISTRACIÓN FINANCIERA Y DE LOS SISTEMAS DE CONTROL DEL SECTOR PUBLICO NACIONAL -.
</t>
  </si>
  <si>
    <t>02/01/2026</t>
  </si>
  <si>
    <t>05/01/2026</t>
  </si>
  <si>
    <t>JEFATURA DE GABINETE: REMITE MENSAJE N° 117/25, QUE COMUNICA EL DICTADO DEL DECRETO DE FACULTADES DELEGADAS Nº 877/25, QUE FIJA LA ALÍCUOTA DEL DERECHO DE EXPORTACIÓN PARA LAS MERCADERÍAS COMPRENDIDAS EN LAS POSICIONES ARANCELARIAS DE LA N.C.M. (GRANOS).</t>
  </si>
  <si>
    <t>JEFATURA DE GABINETE: REMITE MENSAJE Nº 116/25 QUE COMUNICA EL DICTADO DEL DECRETO DE NECESIDAD Y URGENCIA Nº 849/25, QUE MODIFICA EL PRESUPUESTO GENERAL DE LA ADMINISTRACIÓN NACIONAL PARA EL EJERCICIO 2025.</t>
  </si>
  <si>
    <t xml:space="preserve"> 15/12/2025 -</t>
  </si>
  <si>
    <t>15/12/2025</t>
  </si>
  <si>
    <t>JEFATURA DE GABINETE: REMITE MENSAJE Nº 115/25 QUE COMUNICA EL DICTADO DEL DECRETO DE NECESIDAD Y URGENCIA Nº 825/25, QUE MODIFICA LA LEY DE MINISTERIOS - 22.520 -.</t>
  </si>
  <si>
    <t>RP</t>
  </si>
  <si>
    <t>JEFATURA DE GABINETE: REMITE RESPUESTA SOBRE DIVERSOS PUNTOS RELACIONADOS CON EL INCREMENTO A LA IMPORTACION DE ALIMENTOS Y BEBIDAS DURANTE EL ULTIMO AÑO (REF.  S. 299/25).</t>
  </si>
  <si>
    <t xml:space="preserve"> 03/12/2025 -</t>
  </si>
  <si>
    <t>03/12/2025</t>
  </si>
  <si>
    <t>JEFATURA DE GABINETE: REMITE MENSAJE N° 114/25, QUE COMUNICA EL DICTADO DEL DECRETO DE FACULTADES DELEGADAS Nº 811/25, QUE FIJA LA ALICUOTA DEL D.E PARA MERCADERIAS COMPRENDIDAS EN LAS POSICIONES ARANCELARIAS DE LA N.C.M. - ACEITES Y LUBRICANTES.</t>
  </si>
  <si>
    <t>28/11/2025</t>
  </si>
  <si>
    <t>JEFATURA DE GABINETE: REMITE MENSAJE Nº 113/25 QUE COMUNICA EL DICTADO DEL DECRETO DE NECESIDAD Y URGENCIA Nº 805/25, QUE APRUEBA EL TEXTO ORDENADO DEL "MARCO REGULATORIO" DE LA LEY N° 26.221 - PRESTACIÓN DEL SERVICIO PÚBLICO DE AGUA POTABLE Y DESAGÜES CLOACALES.</t>
  </si>
  <si>
    <t>27/11/2025</t>
  </si>
  <si>
    <t xml:space="preserve">JEFATURA DE GABINETE: REMITE MENSAJE Nº 112/25 QUE COMUNICA EL DICTADO DEL DECRETO DE NECESIDAD Y URGENCIA Nº 793/25, QUE MODIFICA LA LEY DE MINISTERIOS - 22.520 -.
</t>
  </si>
  <si>
    <t>26/11/2025</t>
  </si>
  <si>
    <t>JEFATURA DE GABINETE: REMITE INFORME SOBRE LAS OPERACIONES DE CRÉDITO PÚBLICO REALIZADAS POR EL ORGANO RESPONSABLE DE LA COORDINACION DE LOS SISTEMAS DE ADMINISTRACION FINANCIERA, DURANTE EL TERCER TRIMESTRE DE 2025, EN CUMPLIMIENTO DEL ART. 37 DE LA LEY 27.701 -PRESUPUESTO GENERAL DE LA ADMINISTRACIÓN NACIONAL- Y S/M, CORRESPONDIENTE AL EJERCICIO 2023.</t>
  </si>
  <si>
    <t>18/11/2025</t>
  </si>
  <si>
    <t>BICAMERAL PERMANENTE DE SEGUIMIENTO Y CONTROL DE LA GESTIÓN DE CONTRATACIÓN Y DE PAGO DE LA DEUDA EXTERIOR DE LA NACIÓN (LEY 27.249)</t>
  </si>
  <si>
    <t>JEFATURA DE GABINETE: REMITE MENSAJE N° 111/25, QUE COMUNICA EL DICTADO DEL DECRETO DE FACULTADES DELEGADAS Nº 781/25, SOBRE POSICIONES ARANCELARIAS DE LA NOMENCLATURA COMUN DEL MERCOSUR (N.C.M.) - JUGUETES -.</t>
  </si>
  <si>
    <t>13/11/2025</t>
  </si>
  <si>
    <t>JEFATURA DE GABINETE: REMITE RESPUESTA SOBRE EL CUMPLIMIENTO DE LA LEY 27.130 - PREVENCION DEL SUICIDIO (REF. S. 1571/24).</t>
  </si>
  <si>
    <t xml:space="preserve"> 03/11/2025 -</t>
  </si>
  <si>
    <t>03/11/2025</t>
  </si>
  <si>
    <t>JEFATURA DE GABINETE: REMITE RESPUESTA SOBRE LA IMPLEMENTACION DE LA LEY 27.351 Y NORMAS COMPLEMENTARIAS RELATIVAS A GARANTIZAR LOS DERECHOS DE LAS PERSONAS ELECTRODEPENDIENTES POR CUESTIONES DE SALUD (REF. S.835/24)</t>
  </si>
  <si>
    <t>GARCIA LARRABURU: PROYECTO DE LEY QUE CREA EL PROGRAMA NACIONAL DE DESARROLLO AGROINDUSTRIAL Y COMERCIAL DE LA ROSA MOSQUETA (PROROMO).</t>
  </si>
  <si>
    <t xml:space="preserve"> 8 24/04/2025 -</t>
  </si>
  <si>
    <t>JEFATURA DE GABINETE: REMITE NOTA POR LA CUAL SE ACOMPAÑA COPIA DE LA DECISIÓN ADMINISTRATIVA N° 29/25 QUE MODIFICO EL PRESUPUESTO DE LA ADMINISTRACIÓN PÚBLICA NACIONAL, EN VIRTUD DE LO DISPUESTO EN EL ART. 37 DE LA LEY 24.156 - ADMINISTRACIÓN FINANCIERA Y DE LOS SISTEMAS DE CONTROL DEL SECTOR PUBLICO NACIONAL -.</t>
  </si>
  <si>
    <t xml:space="preserve">GARCIA LARRABURU: PROYECTO DE LEY DE OPTIMIZACION DEL ENTORNO EDUCATIVO: REGULACION DEL USO DE CELULARES EN INSTITUCIONES ESCOLARES.
</t>
  </si>
  <si>
    <t>GARCIA LARRABURU: PROYECTO DE LEY QUE REGULA EL EJERCICIO DE LA ACTIVIDAD DE PUERICULTORAS Y PUERICULTORES.</t>
  </si>
  <si>
    <t xml:space="preserve">JEFATURA DE GABINETE: REMITE RESPUESTA SOBRE CUESTIONES VINCULADAS A LA PREVENCION DEL SUICIDIO. (REF. S. 1563/24)
</t>
  </si>
  <si>
    <t>30/10/2025</t>
  </si>
  <si>
    <t>JEFATURA DE GABINETE: REMITE RESPUESTA SOBRE LA IMPLEMENTACION DE LA LEY 27.351 - REGIMEN DE BENEFICIOS PARA ELECTRODEPENDIENTES-. (REF. S. 1080/24).</t>
  </si>
  <si>
    <t>AUDITORIA GENERAL DE LA NACIÓN: COMUNICA DISPOSICIÓN N° 138/25, QUE AUTORIZA A IMPUTAR AL FONDO ESPECIAL DE RESERVA CREADO POR DISPOSICIÓN N° 356/24-AGN Y EFECTUAR DE LOS FONDOS ALLÍ RESERVADOS EL PAGO DE PESOS SIETE MILLONES CIEN MIL PARA LA ADQUISICIÓN DE BIENES.</t>
  </si>
  <si>
    <t>10/07/2025</t>
  </si>
  <si>
    <t>JEFATURA DE GABINETE: REMITE MENSAJE N° 110/25, QUE COMUNICA EL DICTADO DEL DECRETO DE FACULTADES DELEGADAS Nº 726/25, QUE FIJA LA ALÍCUOTA DEL DERECHO DE EXPORTACIÓN PARA LAS MERCADERÍAS COMPRENDIDAS EN LAS POSICIONES ARANCELARIAS DE LA NOMENCLATURA COMÚN DEL MERCOSUR - ACERO Y ALUMINIO.</t>
  </si>
  <si>
    <t>21/10/2025</t>
  </si>
  <si>
    <t>JEFATURA DE GABINETE: REMITE RESPUESTA SOBRE LA DISOLUCIÓN DEL MUSEO NACIONAL DE LA HISTORIA DEL TRAJE POR DCTO. 862/24 Y OTRAS CUESTIONES CONEXAS. (REF. S. 1932/24)</t>
  </si>
  <si>
    <t xml:space="preserve"> 17/10/2025 -</t>
  </si>
  <si>
    <t>20/10/2025</t>
  </si>
  <si>
    <t>DURE: REPRODUCE PROYECTO DE LEY QUE INSTITUYE EL DÍA 28 DE MAYO DE CADA AÑO COMO EL "DÍA NACIONAL DE LA GESTIÓN MENSTRUAL". (REF. S.791/22)</t>
  </si>
  <si>
    <t xml:space="preserve"> 06/03/2025 -</t>
  </si>
  <si>
    <t>JEFATURA DE GABINETE: REMITE RESPUESTA SOBRE EL ESTADO DE CONSERVACION DE LA CAPILLA NUESTRA SRA. DEL ROSARIO DE LA LOC. DE HUALFÍN, PROV. DE CATAMARCA, Y OTRAS CUESTIONES CONEXAS. (REF. S. 1059/24)</t>
  </si>
  <si>
    <t>DURE: REPRODUCE PROYECTO DE LEY QUE INSTAURA EL USO DE LA IMAGEN DE LAS ISLAS MALVINAS EN LOS GUARDAPOLVOS Y UNIFORMES DE LOS NIVELES DE EDUCACIÓN INICIAL, PRIMARIA Y SECUNDARIA, SEGÚN LO ESTABLECE SU SIMILAR 26.206 -EDUCACIÓN NACIONAL-. (REF. S.1900/23)</t>
  </si>
  <si>
    <t>DURE: REPRODUCE PROYECTO DE LEY QUE INSTITUYE EL DÍA 11 DE MARZO DE CADA AÑO COMO "DÍA NACIONAL DEL DOCENTE CONTINENTAL ARGENTINO". (REF. S.213/22)</t>
  </si>
  <si>
    <t xml:space="preserve">AUDITORIA GENERAL DE NACION: REMITE COPIA DE LOS CONTRATOS QUE FUERAN OBJETO DE LOS INFORMES DE AUDITORIA ELABORADOS EN CUMPLIMIENTO DE LO PREVISTO EN EL ART. 10 DE LA LEY 27.753 Y APROBADOS MEDIANTE LAS RES. AGN Nº 149; 150; 151; 152; 153; 154; 155; 156; 157 Y 158/22. SE ADJUNTA SOBRE RESERVADO. </t>
  </si>
  <si>
    <t>03/07/2025</t>
  </si>
  <si>
    <t>DURE: REPRODUCE PROYECTO DE LEY QUE CREA EL PROGRAMA DE CAPACITACION OBLIGATORIA EN EL DIAGNOSTICO DEL TRASTORNO DEL ESPECTRO AUTISTA (TEA) PARA TODOS LOS DOCENTES DE LOS ESTABLECIMIENTOS DE ENSEÑANZA EN SUS DIFERENTES NIVELES EDUCATIVOS. (REF. S.740/23)</t>
  </si>
  <si>
    <t xml:space="preserve">DURE: REPRODUCE PROYECTO DE LEY QUE DECLARA FIESTA NACIONAL A LA "FIESTA DE LA LENGA", QUE SE CELEBRA EN LA CDAD. DE TOLHUIN, PROV. DE TIERRA DEL FUEGO, ANTARTIDA E ISLAS DEL ATLANTICO SUR, DURANTE EL MES DE DICIEMBRE DE CADA AÑO. (REF. S.239/23)
</t>
  </si>
  <si>
    <t xml:space="preserve"> 7 24/04/2025 -</t>
  </si>
  <si>
    <t xml:space="preserve">JEFATURA DE GABINETE: REMITE MENSAJE N° 109/25 QUE COMUNICA EL DICTADO DEL DECRETO N° 695/25, QUE AUTORIZA EL PROCEDIMIENTO PARA LA PRIVATIZACIÓN PARCIAL DE NUCLEOELÉCTRICA ARGENTINA SOCIEDAD ANÓNIMA.
</t>
  </si>
  <si>
    <t>DURE: REPRODUCE PROYECTO DE LEY QUE DECLARA EL 7 DE NOVIEMBRE DE CADA AÑO COMO   "DÍA NACIONAL DE LA MUJER EN LA ANTÁRTIDA". (REF. S.214/22)</t>
  </si>
  <si>
    <t xml:space="preserve">JEFATURA DE GABINETE: REMITE MENSAJE Nº 106/25 QUE COMUNICA EL DICTADO DEL DECRETO DE NECESIDAD Y URGENCIA Nº 697/25, QUE AUTORIZA LA SALIDA DEL TERRITORIO NACIONAL DE MEDIOS Y PERSONAL DE FUERZAS NACIONALES PARA LA PARTICIPACION EN LOS EJERCICIOS COMBINADOS "SOLIDARIDAD" Y "TRIDENTE".
</t>
  </si>
  <si>
    <t>13/10/2025</t>
  </si>
  <si>
    <t xml:space="preserve">DURE: REPRODUCE PROYECTO DE LEY QUE ESTABLECE UN PROTOCOLO DE ATENCION Y PREVENCION DE CRISIS EMOCIONALES EN EL SISTEMA EDUCATIVO NACIONAL. (REF. S.1871/23)
</t>
  </si>
  <si>
    <t>JEFATURA DE GABINETE: REMITE EL PLAN NACIONAL DE INVERSIONES PUBLICAS PARA EL TRIENIO 2026 - 2028.</t>
  </si>
  <si>
    <t xml:space="preserve">DURE: REPRODUCE PROYECTO DE LEY QUE INSTITUYE LA "SEMANA NACIONAL DE LA ANTARTIDA ARGENTINA" A REALIZARSE LA PRIMERA SEMANA DEL MES DE JUNIO DE CADA AÑO. (REF. S.1242/23)
</t>
  </si>
  <si>
    <t xml:space="preserve">JEFATURA DE GABINETE: REMITE MENSAJE N° 108/25, QUE COMUNICA EL DICTADO DEL DECRETO DE FACULTADES DELEGADAS Nº 685/25, SOBRE BAJA DE RETENCIONES - CARNES - FIJA LA ALÍCUOTA DEL DERECHO DE EXPORTACIÓN (D.E.) PARA LAS MERCADERÍAS DE LA NOMENCLATURA COMÚN DEL MERCOSUR (N.C.M.).
</t>
  </si>
  <si>
    <t>DURE: REPRODUCE PROYECTO DE LEY QUE DECLARA A LA CIUDAD DE TOLHUIN, PROV. DE TIERRA DEL FUEGO, ANTARTIDA E ISLAS DEL ATLANTICO SUR, COMO CIUDAD CORAZON DE LA ISLA Y DE LA REPUBLICA ARGENTINA.  (REF. S.1828/22).</t>
  </si>
  <si>
    <t xml:space="preserve">JEFATURA DE GABINETE: REMITE MENSAJE N° 107/25, QUE COMUNICA EL DICTADO DEL DECRETO DE FACULTADES DELEGADAS Nº 682/25, SOBRE BAJA DE RETENCIONES - FIJA LA ALÍCUOTA DEL DERECHO DE EXPORTACIÓN (D.E.) PARA LAS MERCADERÍAS DE LA NOMENCLATURA COMÚN DEL MERCOSUR (N.C.M.)
</t>
  </si>
  <si>
    <t xml:space="preserve">LEAVY: REPRODUCE PROYECTO DE LEY SOBRE PROTECCIÓN INTEGRAL DEL PROCESO ELECTORAL ANTE LAS NOTICIAS FALSAS. (REF. S.2319/23)
</t>
  </si>
  <si>
    <t>LEAVY: REPRODUCE PROYECTO DE LEY QUE MODIFICA EL ART. 80 DE SU SIMILAR 24449 Y S/M -TRANSITO- QUE AGRAVA LAS PENAS PARA EL INFRACTOR QUE SE ENCUENTRE ALCOHOLIZADO O BAJO LOS EFECTOS DE ESTUPEFACIENTES O MEDICAMENTOS QUE DISMINUYAN LA APTITUD PARA CONDUCIR. (REF. S.2262/23)</t>
  </si>
  <si>
    <t>MENSAJE N° 31/25 QUE SOLICITA ACUERDO PARA DESIGNAR DIRECTORES DEL BANCO CENTRAL DE LA REPUBLICA ARGENTINA.</t>
  </si>
  <si>
    <t xml:space="preserve"> 5 02/10/2025 -</t>
  </si>
  <si>
    <t>LEAVY: REPRODUCE PROYECTO DE LEY QUE INCORPORA EL PUNTO 7.1 DEL ART. 14. INC. A) DE SU SIMILAR 24.449 Y S/M - TRANSITO-, RESPECTO DE INCLUIR UN EXAMEN TEÓRICO PRACTICO SOBRE CONOCIMIENTOS DE PRIMEROS AUXILIOS CON REANIMACIÓN CARDIOPULMONAR (RCP), PREVIO A LA OBTENCIÓN DE UNA LICENCIA DE CONDUCIR. (REF. S. 2178/23)</t>
  </si>
  <si>
    <t>JEFATURA DE GABINETE: REMITE RESPUESTA SOBRE DIVERSOS ASPECTOS VINCULADOS AL CONTROL DEL NARCOTRAFICO (REF. OD 148/24).</t>
  </si>
  <si>
    <t xml:space="preserve">LEAVY: REPRODUCE PROYECTO DE LEY QUE CREA LA UNIVERSIDAD NACIONAL DEL NORTE "MARTIN MIGUEL DE GUEMES". (REF. S. 2177/23)
</t>
  </si>
  <si>
    <t>JEFATURA DE GABINETE: REMITE MENSAJE N° 105/25 QUE COMUNICA EL DICTADO DEL DECRETO DE NECESIDAD Y URGENCIA Nº658/25, QUE MODIFICA LA LEY DE MINISTERIOS - MINISTERIO DEL INTERIOR.</t>
  </si>
  <si>
    <t xml:space="preserve">LEAVY: REPRODUCE PROYECTO DE LEY QUE MODIFICA EL ART. 519 DEL CODIGO CIVIL Y COMERCIAL DE LA NACION, RESPECTO DEL DEBER DE ASISTENCIA, A QUIEN PADECE UNA ENFERMEDAD GRAVE PREEXISTENTE, POSTERIOR AL CESE DE LA CONVIVENCIA. (REF. S. 2070/23)
</t>
  </si>
  <si>
    <t xml:space="preserve">JEFATURA DE GABINETE: REMITE COPIA DEL INFORME ELABORADO, SOBRE LA EJECUCION PRESUPUESTARIA DE LOS FONDOS FIDUCIARIOS DEL ESTADO NACIONAL CORRESPONDIENTE AL SEGUNDO TRIMESTRE DE 2025.
</t>
  </si>
  <si>
    <t xml:space="preserve">LEAVY: REPRODUCE PROYECTO DE LEY QUE MODIFICA LOS ARTS. 442 Y 525 DEL CODIGO CIVIL Y COMERCIAL DE LA NACION, RESPECTO DE LA AMPLIACION DEL PLAZO Y COMPUTO DE CADUCIDAD EN LA COMPENSACION ECONOMICA, COMO EFECTO DEL DIVORCIO O EL CESE DE LA UNION CIVIL CONVIVENCIAL. (REF. S. 2069/23)
</t>
  </si>
  <si>
    <t>JEFATURA DE GABINETE: REMITE NOTA POR LA CUAL SE ACOMPAÑA COPIA DE LA DECISIÓN ADMINISTRATIVA N° 24/25 QUE MODIFICO EL PRESUPUESTO DE LA ADMINISTRACIÓN PÚBLICA NACIONAL, EN VIRTUD DE LO DISPUESTO EN EL ART. 37 DE LA LEY 24.156 - ADMINISTRACIÓN FINANCIERA Y DE LOS SISTEMAS DE CONTROL DEL SECTOR PUBLICO NACIONAL -.</t>
  </si>
  <si>
    <t>LEAVY: REPRODUCE PROYECTO DE LEY QUE MODIFICA EL ART. 8 DE SU SIMILAR 24.449 (TRANSITO), RESPECTO DE QUE EL REGISTRO NACIONAL DE ANTECEDENTES DEL TRANSITO DEBA CONTAR CON UNA BASE DE DATOS CON ESTADISTICA ACCIDENTOLOGICA. (REF. S. 2023/23)</t>
  </si>
  <si>
    <t xml:space="preserve">LEAVY: REPRODUCE PROYECTO DE LEY DE PRESUPUESTOS MÍNIMOS PARA LA GESTIÓN AMBIENTAL DE SITIOS CONTAMINADOS. (REF. S.1952/23)
</t>
  </si>
  <si>
    <t>19/03/2025</t>
  </si>
  <si>
    <t>20/03/2025</t>
  </si>
  <si>
    <t>JEFATURA DE GABINETE: REMITE NOTA POR LA CUAL SE ACOMPAÑA COPIA DE LA DECISIÓN ADMINISTRATIVA N° 23/25 QUE MODIFICO EL PRESUPUESTO DE LA ADMINISTRACIÓN PÚBLICA NACIONAL, EN VIRTUD DE LO DISPUESTO EN EL ART. 37 DE LA LEY 24.156 - ADMINISTRACIÓN FINANCIERA Y DE LOS SISTEMAS DE CONTROL DEL SECTOR PUBLICO NACIONAL -.</t>
  </si>
  <si>
    <t xml:space="preserve">LEAVY: REPRODUCE PROYECTO DE LEY QUE INSTITUYE EL "DÍA NACIONAL DE LA CIENCIA MÉDICA ARGENTINA", EL 9 DE MAYO DE CADA AÑO. (REF. S. 2336/23)
</t>
  </si>
  <si>
    <t xml:space="preserve">LEAVY: REPRODUCE PROYECTO DE LEY QUE MODIFICA EL ART. 202 DE SU SIMILAR 19.550- GENERAL DE SOCIEDADES COMERCIALES- RESPECTO A LA EMISION DE ACCIONES BAJO LA PAR O VALOR NOMINAL. (REF. S. 2475/23)
</t>
  </si>
  <si>
    <t>LEAVY: REPRODUCE PROYECTO DE LEY SOBRE RÉGIMEN DE REGULACIÓN Y PROMOCIÓN PARA LA PRODUCCIÓN Y USO SUSTENTABLES DE BIOPLASTICOS. (REF. S. 1812/23)</t>
  </si>
  <si>
    <t xml:space="preserve">JEFATURA DE GABINETE: REMITE MENSAJE Nº 103/25 QUE COMUNICA EL DICTADO DEL DECRETO DE NECESIDAD Y URGENCIA Nº 627/25, QUE RESTITUYE LA PLENA VIGENCIA DE LAS DISPOSICIONES NORMATIVAS QUE FUERON DEROGADAS, SUSTITUIDAS O MODIFICADAS POR LOS DECRETOS NROS. 345/25, 351/25, 461/25 Y 462/25 Y QUE SE ENCONTRABAN VIGENTES AL MOMENTO DEL DICTADO DE CADA UNO DE LOS MENCIONADOS DECRETOS.
</t>
  </si>
  <si>
    <t>15/09/2025</t>
  </si>
  <si>
    <t xml:space="preserve">LEAVY: REPRODUCE PROYECTO DE LEY QUE MODIFICA SU SIMILAR 22.421(PROTECCIÓN Y CONSERVACIÓN DE LA FAUNA SILVESTRE) RESPECTO DE LAS MEDIDAS DE PRESERVACION DE LAS ESPECIES. (REF. S. 1813/23)
</t>
  </si>
  <si>
    <t xml:space="preserve">JEFATURA DE GABINETE: REMITE MENSAJE Nº 102/25 QUE COMUNICA EL DICTADO DEL DECRETO DE NECESIDAD Y URGENCIA Nº 628/25, QUE RESTITUYE LA PLENA VIGENCIA DE LAS DISPOSICIONES NORMATIVAS QUE FUERON DEROGADAS, SUSTITUIDAS O MODIFICADAS POR EL DECRETO N° 340 DEL 20 DE MAYO DE 2025 Y QUE SE ENCONTRABAN VIGENTES AL MOMENTO DEL DICTADO DE DICHO DECRETO.
</t>
  </si>
  <si>
    <t>LEAVY: REPRODUCE PROYECTO DE LEY QUE CREA PROGRAMA PARA LA REDUCCION DE LA INEQUIDAD ENERGETICA EN EL NORTE ARGENTINO. (REF. S. 1778/23)</t>
  </si>
  <si>
    <t xml:space="preserve">LEAVY: REPRODUCE PROYECTO DE LEY QUE INSTITUYE EL PROGRAMA DE FOMENTO DE LA BIOECONOMIA. (REF. S.1651/23)
</t>
  </si>
  <si>
    <t xml:space="preserve">LEAVY: REPRODUCE PROYECTO DE LEY DE PROTECCIÓN DE LOS DERECHOS DE LOS ANIMALES. (REF. S. 1587/23)
</t>
  </si>
  <si>
    <t xml:space="preserve">LEAVY: REPRODUCE PROYECTO DE LEY SOBRE SEGUROS MULTIRRIESGOS AGROPECUARIOS - FORESTALES. (REF. S. 1322/23)
</t>
  </si>
  <si>
    <t xml:space="preserve"> 6 24/04/2025 -</t>
  </si>
  <si>
    <t xml:space="preserve">JEFATURA DE GABINETE: REMITE INFORME CIRCUNSTANCIADO SOBRE EL PROCEDIMIENTO PARA LA PRIVATIZACION DE CENTRALES HIDROELECTRICAS, EN EL MARCO DEL ART. 3º DEL ANEXO DEL DECRETO Nº 695/24, REG. DEL TITULO II - REFORMA DEL ESTADO DE LA LEY DE BASES Y PUNTOS DE PARTIDA PARA LA LIBERTAD DE LOS ARGENTINOS - LEY 27.742 </t>
  </si>
  <si>
    <t>03/09/2025</t>
  </si>
  <si>
    <t>LEAVY: REPRODUCE PROYECTO DE LEY QUE MODIFICA SU SIMILAR 26.020 -RÉGIMEN REGULATORIO DE LA INDUSTRIA Y COMERCIALIZACIÓN DE GAS LICUADO DE PETRÓLEO-, A FIN DE INCORPORAR DENTRO DEL PRECIO REGIONAL DIFERENCIAL PARA CONSUMOS RESIDENCIALES DE GLP, A LOS DPTOS. DE SAN MARTIN, ORAN Y RIVADAVIA, PROV. DE SALTA. (REF. S. 1248/23)</t>
  </si>
  <si>
    <t>JEFATURA DE GABINETE: REMITE MENSAJE N° 101/25 QUE COMUNICA EL DICTADO DEL DECRETO N° 590/25, SOBRE PRIVATIZACIONES DE CENTRALES HIDROELÉCTRICAS.</t>
  </si>
  <si>
    <t xml:space="preserve"> 77  -</t>
  </si>
  <si>
    <t xml:space="preserve">LEAVY: REPRODUCE PROYECTO DE LEY DE RECONVERSION PRODUCTIVA AGRARIA (RPA). (REF. S. 654/23)
</t>
  </si>
  <si>
    <t xml:space="preserve">LEAVY: REPRODUCE PROYECTO DE LEY DE TARIFA ELECTRICA DIFERENCIAL PARA ZONAS CALIDAS. (REF. S-191/23)
</t>
  </si>
  <si>
    <t>LEAVY: REPRODUCE PROYECTO DE LEY QUE DEROGA SU SIMILAR N° 27.336 - QUE TRANSFIERE A TITULO GRATUITO Y EN FAVOR DE LA MUNICIPALIDAD DE SALTA, PROV. HOMONIMA, EL DOMINIO DEL INMUEBLE PROPIEDAD DEL ESTADO NACIONAL, CORRESPONDIENTE AL EDIFICIO CONOCIDO COMO "LA PALUDICA". (REF. S.192/23)</t>
  </si>
  <si>
    <t>JEFATURA DE GABINETE: REMITE INFORME SOBRE LAS OPERACIONES DE CRÉDITO PÚBLICO REALIZADAS POR EL ORGANO RESPONSABLE DE LA COORDINACION DE LOS SISTEMAS DE ADMINISTRACION FINANCIERA, DURANTE EL SEGUNDO TRIMESTRE DE 2025, EN CUMPLIMIENTO DEL ART. 37 DE LA LEY 27.701 -PRESUPUESTO GENERAL DE LA ADMINISTRACIÓN NACIONAL- Y S/M, CORRESPONDIENTE AL EJERCICIO 2023.</t>
  </si>
  <si>
    <t>27/08/2025</t>
  </si>
  <si>
    <t>LEAVY: REPRODUCE PROYECTO DE LEY QUE DECLARA DE INTERES NACIONAL LA PROMOCION, FOMENTO, DESARROLLO DE LA PRODUCCION, COMERCIALIZACION E INVESTIGACION DEL BAMBU. (REF. S-193/23)</t>
  </si>
  <si>
    <t>JEFATURA DE GABINETE: REMITE MENSAJE Nº 100/25 QUE COMUNICA EL DICTADO DEL DECRETO DE NECESIDAD Y URGENCIA Nº 575/25, QUE APRUEBA EL RÉGIMEN DE CONSERVACIÓN, ADMINISTRACIÓN Y DISPOSICIÓN DE LOS BIENES PROVENIENTES DE ACTIVIDAD ILÍCITA CAUTELADOS Y RECUPERADOS EN LOS PROCESOS PENALES DE COMPETENCIA NACIONAL Y FEDERAL Y DE EXTINCIÓN DE DOMINIO.</t>
  </si>
  <si>
    <t>25/08/2025</t>
  </si>
  <si>
    <t>LEAVY: REPRODUCE PROYECTO DE LEY QUE MODIFICA EL ART. 11 DE SU SIMILAR 26.206 (EDUCACION NACIONAL) SOBRE FINES Y OBJETIVOS DE LA POLITICA EDUCATIVA NACIONAL, DE LA ENSEÑANZA DEL RECICLADO DE RESIDUOS. (REF. S-194/23)</t>
  </si>
  <si>
    <t>JEFATURA DE GABINETE: REMITE MENSAJE N° 99/25, QUE COMUNICA EL DICTADO DEL DECRETO DE FACULTADES DELEGADAS Nº 563/25, SOBRE REDUCCIÓN DE ALÍCUOTA DEL DERECHO DE EXPORTACIÓN (D.E.) PARA LAS MERCADERÍAS COMPRENDIDAS EN LAS POSICIONES ARANCELARIAS DEL MERCOSUR - SECTOR MINERO.</t>
  </si>
  <si>
    <t xml:space="preserve"> 72 21/08/2025 -</t>
  </si>
  <si>
    <t>20/08/2025</t>
  </si>
  <si>
    <t>LEAVY: REPRODUCE PROYECTO DE LEY SOBRE REGIMEN PREVISIONAL PARA LOS TRABAJADORES DE LA ACTIVIDAD MINERA (REF. S-287/23)</t>
  </si>
  <si>
    <t xml:space="preserve">MENSAJE N° 23/25 QUE SOLICITA ACUERDO PARA PROMOVER A LA CATEGORIA "C" MINISTRO PLENIPOTENCIARIO DE SEGUNDA CLASE A LOS FUNCIONARIOS DE LA CATEGORIA "D" CONSEJERO DE EMBAJADA Y CONSUL GENERAL DEL MINISTERIO DE RELACIONES EXTERIORES, COMERCIO INTERNACIONAL Y CULTO.
</t>
  </si>
  <si>
    <t xml:space="preserve"> 3 21/08/2025 -</t>
  </si>
  <si>
    <t xml:space="preserve"> 19/08/2025 -</t>
  </si>
  <si>
    <t xml:space="preserve">LEAVY: REPRODUCE PROYECTO DE LEY QUE INCORPORA COMO ART. 1091 BIS DEL CÓDIGO CIVIL Y COMERCIAL DE LA NACIÓN, RESPECTO DE LA ADECUACIÓN DE LAS PRESTACIONES. (REF. S. 288/23)
</t>
  </si>
  <si>
    <t xml:space="preserve">MENSAJE N° 22/25 QUE SOLICITA ACUERDO PARA PROMOVER A LA CATEGORIA "C" MINISTRO PLENIPOTENCIARIO DE SEGUNDA CLASE A LOS FUNCIONARIOS DE LA CATEGORIA "D" CONSEJERO DE EMBAJADA Y CONSUL GENERAL DEL MINISTERIO DE RELACIONES EXTERIORES, COMERCIO INTERNACIONAL Y CULTO.
</t>
  </si>
  <si>
    <t>LEAVY: REPRODUCE PROYECTO DE LEY QUE MODIFICA EL ART. 77 DE SU SIMILAR 11.683 (PROCEDIMIENTO TRIBUTARIO), RESPECTO DEL DECOMISO DE MERCADERIAS. (REF. S. 289/23)</t>
  </si>
  <si>
    <t xml:space="preserve">MENSAJE N° 21/25 QUE SOLICITA ACUERDO PARA PROMOVER A LA CATEGORIA "B" MINISTRO PLENIPOTENCIARIO DE PRIMERA CLASE A LOS FUNCIONARIOS DE LA CATEGORIA "C" MINISTRO PLENIPOTENCIARIO DE SEGUNDA CLASE DEL MINISTERIO DE RELACIONES EXTERIORES, COMERCIO INTERNACIONAL Y CULTO.
</t>
  </si>
  <si>
    <t>LEAVY: PROYECTO DE LEY QUE INCORPORA EL INCISO H) DEL ART. 92 DE SU SIMILAR 26.206- EDUCACIÓN NACIONAL-, RESPECTO DE LA OBLIGATORIEDAD DE LA EDUCACIÓN VIAL EN LOS DISTINTOS NIVELES EDUCATIVOS.</t>
  </si>
  <si>
    <t xml:space="preserve"> 04/03/2026 - 19/03/2025 -</t>
  </si>
  <si>
    <t xml:space="preserve">MENSAJE N° 20/25 QUE SOLICITA ACUERDO PARA PROMOVER A LA CATEGORIA "B" MINISTRO PLENIPOTENCIARIO DE PRIMERA CLASE A LOS FUNCIONARIOS DE LA CATEGORIA "C" MINISTRO PLENIPOTENCIARIO DE SEGUNDA CLASE DEL MINISTERIO DE RELACIONES EXTERIORES, COMERCIO INTERNACIONAL Y CULTO.
</t>
  </si>
  <si>
    <t>LEAVY: PROYECTO DE LEY QUE DECLARA MONUMENTO NATURAL EN LOS TERMINOS DEL ART. 8 DE LA LEY 22.351 - PARQUES NACIONALES-, A LA CHINCHILLA DE COLA CORTA O CHINCHILLA DEL ALTIPLANO.</t>
  </si>
  <si>
    <t xml:space="preserve">MENSAJE N° 19/25 QUE SOLICITA ACUERDO PARA PROMOVER A LA CATEGORIA "A" EMBAJADOR EXTRAORDINARIO Y PLENIPOTENCIARIO A LOS FUNCIONARIOS DE LA CATEGORIA "B" MINISTRO PLENIPOTENCIARIO DE PRIMERA CLASE DEL MINISTERIO DE RELACIONES EXTERIORES, COMERCIO INTERNACIONAL Y CULTO.
</t>
  </si>
  <si>
    <t xml:space="preserve">MENSAJE N° 18/25 QUE SOLICITA ACUERDO PARA PROMOVER A LA CATEGORIA "A" EMBAJADOR EXTRAORDINARIO Y PLENIPOTENCIARIO A LOS FUNCIONARIOS DE LA CATEGORIA "B" MINISTRO PLENIPOTENCIARIO DE PRIMERA CLASE DEL MINISTERIO DE RELACIONES EXTERIORES, COMERCIO INTERNACIONAL Y CULTO.
</t>
  </si>
  <si>
    <t xml:space="preserve">JEFATURA DE GABINETE: REMITE MENSAJE N° 98/25 QUE COMUNICA EL DICTADO DEL DECRETO DE FACULTADES DELEGADAS Nº 526/25, QUE MODIFICA EL NIVEL DEL DERECHO DE EXPORTACIÓN (D.E.).
</t>
  </si>
  <si>
    <t>JEFATURA DE GABINETE: REMITE MENSAJE N° 97/25 QUE COMUNICA EL DICTADO DEL DECRETO DE NECESIDAD Y URGENCIA Nº 521/25, QUE AUTORIZA LA SALIDA DEL TERRITORIO NACIONAL DE MEDIOS Y PERSONAL DE FUERZAS NACIONALES PARA LA PARTICIPACION EN EJERCICIOS COMBINADOS "FRATERNO XXXVIII", "VIEKAREN", PASSEX", "SOUTHERN VANGUARD 25" Y "UNITAS LXVI".</t>
  </si>
  <si>
    <t>JEFATURA DE GABINETE: REMITE MENSAJE N° 96/25, QUE COMUNICA EL DICTADO DEL DECRETO DE FACULTADES DELEGADAS Nº 513/25, QUE MODIFICA EL DECRETO N° 557/23 Y SUS MODIFICATORIOS - NOMENCLATURA COMÚN DEL MERCOSUR.</t>
  </si>
  <si>
    <t>08/08/2025</t>
  </si>
  <si>
    <t>JEFATURA DE GABINETE: REMITE MENSAJE N° 95/25 QUE COMUNICA EL DICTADO DEL DECRETO N° 494/25, QUE AUTORIZA EL PROCEDIMIENTO PARA LA PRIVATIZACIÓN TOTAL DE AGUA Y SANEAMIENTOS ARGENTINOS S.A.</t>
  </si>
  <si>
    <t xml:space="preserve"> 04/08/2025 -</t>
  </si>
  <si>
    <t>SOHER EL SUKARIA: EN SU CARÁCTER DE DEFENSORA DEL PUBLICO DE SERVICIOS DE COMUNICACIÓN AUDIOVISUAL INTERINA: COMUNICA QUE HABIENDOSE CUMPLIDO LOS OBJETIVOS ESTABLECIDOS EN LA RESOLUCION Nº 55/24, SE DARAN POR CONCLUIDAS LAS FUNCIONES Y RESPONSABILIDADES ASIGNADAS EN EL MARCO DE LA MENCIONADA RESOLUCION, EL 31 DE MAYO DE 2025.</t>
  </si>
  <si>
    <t>BICAMERAL PERMANENTE DE PROMOCIÓN Y SEGUIMIENTO DE LA COMUNICACIÓN AUDIOVISUAL, LAS TECNOLOGÍAS DE LAS TELECOMUNICACIONES Y LA DIGITALIZACIÓN (LEY 26.522,Y SUS MODIFICATORIAS  27.078 Y DNU 267/15)</t>
  </si>
  <si>
    <t>30/05/2025</t>
  </si>
  <si>
    <t>JEFATURA DE GABINETE: REMITE MENSAJE N° 94/25 QUE COMUNICA EL DICTADO DEL DECRETO DE NECESIDAD Y URGENCIA Nº 493/25, SOBRE MARCO REGULATORIO PARA LA PRESTACIÓN DEL SERVICIO PÚBLICO DE AGUA POTABLE Y DESAGÜES CLOACALES - AGUA Y SANEAMIENTOS ARGENTINOS S.A. (AYSA)</t>
  </si>
  <si>
    <t xml:space="preserve"> 01/08/2025 -</t>
  </si>
  <si>
    <t>01/08/2025</t>
  </si>
  <si>
    <t xml:space="preserve">JEFATURA DE GABINETE: REMITE COPIA DEL INFORME ELABORADO, SOBRE LA EJECUCION PRESUPUESTARIA DE LOS FONDOS FIDUCIARIOS DEL ESTADO NACIONAL CORRESPONDIENTE AL PRIMER TRIMESTRE DE 2025.
</t>
  </si>
  <si>
    <t>04/08/2025</t>
  </si>
  <si>
    <t xml:space="preserve">JEFATURA DE GABINETE: REMITE MENSAJE N° 93/25 QUE COMUNICA EL DICTADO DEL DECRETO DE FACULTADES DELEGADAS Nº 463/25, QUE DISUELVEN EL "FFFIR", EL FIDEICOMISO FINANCIERO Y DE ADMINISTRACION PARA LA ADMINISTRACION DEL "FONDO NACIONAL DEL MANEJO DEL FUEGO" Y EL FIDEICOMISO "FONDEP"
</t>
  </si>
  <si>
    <t xml:space="preserve"> 21/07/2025 -</t>
  </si>
  <si>
    <t>21/07/2025</t>
  </si>
  <si>
    <t>LEDESMA ABDALA: PROYECTO DE LEY QUE TRANSFIERE A TITULO GRATUITO A FAVOR DE LA UNIVERSIDAD NACIONAL DE SANTIAGO DEL ESTERO UN INMUEBLE PROPIEDAD DEL ESTADO NACIONAL UBICADO EN LA AV. BELGRANO (S) N° 2180 DE LA CIUDAD CAPITAL DE LA PROVINCIA DE SANTIAGO DEL ESTERO.</t>
  </si>
  <si>
    <t xml:space="preserve"> 5 24/04/2025 -</t>
  </si>
  <si>
    <t>JEFATURA DE GABINETE: REMITE MENSAJE N° 90/25 QUE COMUNICA EL DICTADO DEL DECRETO DE FACULTADES DELEGADAS Nº 459/25, QUE DISPONE LA DISOLUCION Y TRANSFORMACION DE ORGANISMOS DESCENTRALIZADOS DEL MINISTERIO DE SALUD.</t>
  </si>
  <si>
    <t>JEFATURA DE GABINETE: REMITE MENSAJE N° 89/25 QUE COMUNICA EL DICTADO DEL DECRETO DE FACULTADES DELEGADAS Nº 458/25, QUE DISPONE LA DISOLUCION DEL INSTITUTO NACIONAL DE MEDICINA TROPICAL (INMET)</t>
  </si>
  <si>
    <t>AUDITORIA GENERAL DE LA NACION: COMUNICA DISPOSICION Nº 110/25, MEDIANTE LA CUAL SE RESUELVE IMPUTAR AL FONDO ESPECIAL DE RESERVA DE LA AGN (DISPOSICION Nº 356/24) Y EFECTUAR DE LOS FONDOS ALLI RESERVADOS, EL PAGO DE $ 4.467.078 POR LA ADQUISICION DE MOBILIARIO QUE FUERAN ADJUDICADOS A LA FIRMA PRODMOBI S.A. A TRAVES DE LA LICITACION PRIVADA Nº 14/2024.</t>
  </si>
  <si>
    <t>10/06/2025</t>
  </si>
  <si>
    <t>JEFATURA DE GABINETE: REMITE MENSAJE N° 88/25 QUE COMUNICA EL DICTADO DEL DECRETO DE FACULTADES DELEGADAS Nº 457/25, SOBRE PREFECTURA NAVAL ARGENTINA.</t>
  </si>
  <si>
    <t xml:space="preserve">BLANCO: PROYECTO DE RESOLUCION QUE CREA EN EL AMBITO DEL H. SENADO DE LA NACION, UNA COMISION ESPECIAL INVESTIGADORA SOBRE LA PROMOCION DE CRIPTO/TOKEN/MEMECOIN $LIBRA. </t>
  </si>
  <si>
    <t>JEFATURA DE GABINETE: REMITE MENSAJE N° 87/25 QUE COMUNICA EL DICTADO DEL DECRETO DE FACULTADES DELEGADAS Nº 456/25, SOBRE POLICIA DE SEGURIDAD AEROPORTUARIA.</t>
  </si>
  <si>
    <t xml:space="preserve">PARRILLI Y OTROS: PROYECTO DE RESOLUCION QUE CITA AL MINISTRO DE ECONOMIA DE LA NACION, LUIS CAPUTO Y AL DIRECTOR EJECUTIVO DE LA AGENCIA NACIONAL DE PUERTOS Y NAVEGACION, IÑAKI ARRESEYGOR, DE CONFORMIDAD AL ART. 71 DE LA C.N. Y EL ART. 214 DEL REGLAMENTO DE LA H. CAMARA. </t>
  </si>
  <si>
    <t xml:space="preserve"> PARRILLI, OSCAR ISIDRO - RECALDE, MARIANO - REJAL, JESÚS FERNANDO - CORA, STEFANIA - LEWANDOWSKI, MARCELO NÉSTOR - MONTENEGRO, GERARDO ANTENOR - GIMÉNEZ, NORA DEL VALLE - RODAS, ANTONIO JOSÉ - PILATTI VERGARA, MARÍA INÉS - DURÉ, MARÍA EUGENIA - LINARES, CARLOS ALBERTO - LEAVY, SERGIO NAPOLEÓN - SALINO, FERNANDO ALDO - GARCÍA LARRABURU, SILVINA MARCELA - LÓPEZ, CÁNDIDA CRISTINA - LÓPEZ, MARÍA FLORENCIA - KIRCHNER, ALICIA MARGARITA ANTONIA - GONZÁLEZ, MARÍA TERESA MARGARITA -</t>
  </si>
  <si>
    <t>JEFATURA DE GABINETE: REMITE MENSAJE N° 86/25 QUE COMUNICA EL DICTADO DEL DECRETO DE FACULTADES DELEGADAS Nº 455/25, SOBRE SERVICIO PENITENCIARIO FEDERAL</t>
  </si>
  <si>
    <t xml:space="preserve">GARCIA LARRABURU: PROYECTO DE LEY QUE PROHIBE LA VENTA Y EXPENDIO DE BEBIDAS ENERGIZANTES A MENORES DE 18 AÑOS. </t>
  </si>
  <si>
    <t>JEFATURA DE GABINETE: REMITE MENSAJE N° 85/25 QUE COMUNICA EL DICTADO DEL DECRETO DE FACULTADES DELEGADAS Nº 454/25, SOBRE GENDARMERIA NACIONAL ARGENTINA</t>
  </si>
  <si>
    <t xml:space="preserve">GARCIA LARRABURU: PROYECTO DE LEY QUE MODIFICA SU SIMILAR 27.118 - AGRICULTURA FAMILIAR-, RESPECTO DE LA SUSPENSION DE LA EJECUCION DE SENTENCIA Y OTROS ACTOS PROCESALES, SOBRE EL DESALOJO DE AGRICULTORES FAMILIARES, Y OTRAS CUESTIONES CONEXAS. </t>
  </si>
  <si>
    <t>JEFATURA DE GABINETE: REMITE MENSAJE N° 78/25 QUE COMUNICA EL DICTADO DEL DECRETO DE FACULTADES DELEGADAS Nº 460/25, QUE DEJA SIN EFECTO LA FACULTAD DEL PEN DE CONSTITUIR "SERVICIOS DE ATENCIÓN MÉDICA INTEGRAL PARA LA COMUNIDAD" - SAMIC</t>
  </si>
  <si>
    <t xml:space="preserve">GARCIA LARRABURU: PROYECTO DE LEY PARA LA AMPLIACION DE FERIADOS NACIONALES Y DIAS CON FINES TURISTICOS EN EL MARCO DE LA LEY N° 27.399. </t>
  </si>
  <si>
    <t>JEFATURA DE GABINETE: REMITE MENSAJE N° 83/25, QUE COMUNICA EL DICTADO DEL DECRETO DE FACULTADES DELEGADAS Nº 451/25, QUE APRUEBA EL TEXTO ORDENADO DE LA LEY N° 24.076 Y SUS MODIFICATORIAS - "LEY N° 24.076 - T.O. 2025".</t>
  </si>
  <si>
    <t xml:space="preserve">GARCIA LARRABURU Y PILATTI VERGARA: PROYECTO DE LEY SOBRE PROHIBICION DE UTILIZAR EL SINDROME DE ALIENACION PARENTAL Y OTROS DIAGNOSTICOS MENTALES O PSIQUIATRICOS NO NOMENCLADOS. </t>
  </si>
  <si>
    <t xml:space="preserve"> GARCÍA LARRABURU, SILVINA MARCELA - PILATTI VERGARA, MARÍA INÉS -</t>
  </si>
  <si>
    <t>JEFATURA DE GABINETE: REMITE MENSAJE N° 82/25, QUE COMUNICA EL DICTADO DEL DECRETO DE FACULTADES DELEGADAS Nº 450/25, QUE APRUEBAN LAS "ADECUACIONES A LA LEY N° 15.336" Y DE LA LEY N° 24.065.</t>
  </si>
  <si>
    <t>JEFATURA DE GABINETE: REMITE MENSAJE N° 81/25, QUE COMUNICA EL DICTADO DEL DECRETO DE FACULTADES DELEGADAS Nº 449/25, QUE MODIFICAN LAS LEYES NROS. 24.196 Y 24.466 - ACTIVIDAD MINERA -.</t>
  </si>
  <si>
    <t>JEFATURA DE GABINETE: REMITE MENSAJE N° 79/25, QUE COMUNICA EL DICTADO DEL DECRETO DE NECESIDAD Y URGENCIA Nº 453/25, SOBRE CANJE DE LAS LETRAS FISCALES DE LIQUIDEZ (LEFI) EN PODER DEL BCRA.</t>
  </si>
  <si>
    <t>JEFATURA DE GABINETE: REMITE MENSAJE N° 84/25, QUE COMUNICA EL DICTADO DEL DECRETO DE FACULTADES DELEGADAS Nº 452/25, QUE CONSTITUYE EL ENTE NACIONAL REGULADOR DEL GAS Y LA ELECTRICIDAD.</t>
  </si>
  <si>
    <t xml:space="preserve">JEFATURA DE GABINETE: REMITE MENSAJE N° 80/25, QUE COMUNICA EL DICTADO DEL DECRETO DE FACULTADES DELEGADAS Nº 447/25, QUE SUSTITUYE LOS ARTÍCULOS 1°, 2°, 3° Y 4° DEL DNU Nº 157/20 - AGENCIA NACIONAL DE PROMOCIÓN DE LA INVESTIGACIÓN, EL DESARROLLO TECNOLÓGICO Y LA INNOVACIÓN - </t>
  </si>
  <si>
    <t>17/07/2025</t>
  </si>
  <si>
    <t xml:space="preserve">JEFATURA DE GABINETE: REMITE MENSAJE N° 75/25, QUE COMUNICA EL DICTADO DEL DECRETO DE FACULTADES DELEGADAS Nº 446/25, QUE MODIFICA LA LEY N° 26.020 Y SUS MODIFICATORIAS - GLP - GAS LICUADO DE PETRÓLEO -.
</t>
  </si>
  <si>
    <t>16/07/2025</t>
  </si>
  <si>
    <t xml:space="preserve">GALARETTO: PROYECTO DE RESOLUCION QUE ADHIERE A LA CONMEMORACION DEL DIA MUNDIAL DE CONCIENTIZACION SOBRE EL ABUSO DE LOS ANCIANOS, EL 15 DE JUNIO DE CADA AÑO. </t>
  </si>
  <si>
    <t xml:space="preserve"> 4 24/04/2025 -</t>
  </si>
  <si>
    <t>JEFATURA DE GABINETE: REMITE MENSAJE N° 77/25, QUE COMUNICA EL DICTADO DEL DECRETO DE FACULTADES DELEGADAS Nº 445/25, QUE DISPONE LA TRANSFORMACIÓN DE LA AGENCIA NACIONAL DE MATERIALES CONTROLADOS EN EL REGISTRO NACIONAL DE ARMAS.</t>
  </si>
  <si>
    <t>14/07/2025</t>
  </si>
  <si>
    <t xml:space="preserve">JEFATURA DE GABINETE: REMITE MENSAJE N° 76/25, QUE COMUNICA EL DICTADO DEL DECRETO DE FACULTADES DELEGADAS Nº 442/25, SOBRE RECONFORMACIÓN ESTRUCTURAL Y OPERATIVA DE CASA DE MONEDA S.A.U. 
</t>
  </si>
  <si>
    <t>JEFATURA DE GABINETE: REMITE MENSAJE N° 67/25, QUE COMUNICA EL DICTADO DEL DECRETO DE FACULTADES DELEGADAS Nº 439/25, SOBRE DERECHO DE EXPORTACIÓN (D.E.) - PARA CIERTOS CEREALES Y SUS RESIDUOS Y DEMÁS PRODUCTOS DE ORIGEN AGROINDUSTRIAL - ESTABLECIDO POR DECRETO N° 38/25.</t>
  </si>
  <si>
    <t xml:space="preserve">GALARETTO: PROYECTO DE RESOLUCION QUE ADHIERE A LA CELEBRACION DE LA SEMANA DE VACUNACION DE LAS AMERICAS, DEL 26 DE ABRIL AL 3 DE MAYO DE 2025. </t>
  </si>
  <si>
    <t>JEFATURA DE GABINETE: REMITE MENSAJE N° 73/25, QUE COMUNICA EL DICTADO DEL DECRETO DE FACULTADES DELEGADAS Nº 436/25, QUE DEROGA EL ART. 3° DE LA LEY N° 27.234 Y LOS ARTICULOS 5° Y 6° DE LA LEY DE PROMOCION DE LA EDUCACION VIAL N° 27.214.</t>
  </si>
  <si>
    <t xml:space="preserve">GALARETTO:  PROYECTO DE LEY SOBRE PROTECCION AL CONSUMIDOR EN LA ELECCION DE PRODUCTOS DE ORIGEN CARNICO. </t>
  </si>
  <si>
    <t>JEFATURA DE GABINETE: REMITE MENSAJE N° 72/25, QUE COMUNICA EL DICTADO DEL DECRETO DE FACULTADES DELEGADAS Nº 438/25, QUE DISPONE LA TRANSFORMACION DEL INSTITUTO NACIONAL DE ASUNTOS INDIGENAS (INAI).</t>
  </si>
  <si>
    <t>JEFATURA DE GABINETE: REMITE MENSAJE N° 70/25, QUE COMUNICA EL DICTADO DEL DECRETO DE FACULTADES DELEGADAS Nº 437/25, QUE DEROGA LA LEY N° 21.134 - FNVM-.</t>
  </si>
  <si>
    <t xml:space="preserve">ROMERO: REPRODUCE EL PROYECTO DE LEY QUE MODIFICA SU SIMILAR 24.660 - EJECUCION DE LA PENA PRIVATIVA DE LA LIBERTAD - RESPECTO AL REGIMEN ESPECIAL DE DETENCION. (REF. S. 474/23) </t>
  </si>
  <si>
    <t xml:space="preserve"> 05/03/2025 -</t>
  </si>
  <si>
    <t xml:space="preserve">JEFATURA DE GABINETE: REMITE MENSAJE N° 71/25 QUE COMUNICA EL DICTADO DEL DECRETO DE FACULTADES DELEGADAS Nº 433/25, QUE MODIFICAN LAS LEYES Nº 27.078 Y S/M Y 26.522 Y S/M - ENACOM -. </t>
  </si>
  <si>
    <t xml:space="preserve"> 60 10/07/2025 -</t>
  </si>
  <si>
    <t>ROMERO: REPRODUCE EL PROYECTO DE LEY QUE SUSTITUYE EL ART. 2 DE SU SIMILAR 26.835 - PROMOCION Y CAPACITACION EN RCP-, RESPECTO DE LA CAPACITACION OBLIGATORIA Y CONTINUA A LOS ESTUDIANTES DEL NIVEL MEDIO Y NIVEL SUPERIOR, PERSONAL DE ESTABLECIMIENTOS EDUCATIVOS Y DE LOS TRES PODERES DEL ESTADO, EN LA ATENCION PRIMARIA BASICA DEL PARO CARDIORESPIRATORIO. (REF. S. 763/23)</t>
  </si>
  <si>
    <t>18/03/2025</t>
  </si>
  <si>
    <t>JEFATURA DE GABINETE: REMITE MENSAJE N° 69/25 QUE COMUNICA EL DICTADO DEL DECRETO DE FACULTADES DELEGADAS Nº 429/25, QUE DEROGAN LA LEY Nº 26.060 - DECRETO Nº 527/07 - DISOLUCION FONDO PRODUCCION ALGODONERA.</t>
  </si>
  <si>
    <t>JEFATURA DE GABINETE: REMITE MENSAJE N° 68/25 QUE COMUNICA EL DICTADO DEL DECRETO DE FACULTADES DELEGADAS Nº 431/25, QUE MODIFICA LA LEY Nº 26.184 - PILAS -.</t>
  </si>
  <si>
    <t>ROMERO: REPRODUCE EL PROYECTO DE LEY QUE DISPONE CONTROLAR EL DESARROLLO, IMPLEMENTACION Y UTILIZACION DE SISTEMAS BASADOS EN INTELIGENCIA ARTIFICIAL, DENTRO DEL TERRITORIO ARGENTINO. (REF. S. 1747/23)</t>
  </si>
  <si>
    <t>JEFATURA DE GABINETE: REMITE MENSAJE N° 66/25 QUE COMUNICA EL DICTADO DEL DECRETO DE FACULTADES DELEGADAS Nº 428/25, QUE MODIFICA LA LEY Nº 25.761 - DESARMADEROS -.</t>
  </si>
  <si>
    <t>ROMERO: REPRODUCE EL PROYECTO DE LEY QUE MODIFICA EL ART. 128 DEL CODIGO PENAL, RESPECTO DE SANCIONAR DELITOS CONTRA LA INTEGRIDAD SEXUAL A TRAVES DEL USO DE INTELIGENCIA ARTIFICIAL (IA) O CUALQUIER MECANISMO TECNOLOGICO. (REF. S. 2469/23)</t>
  </si>
  <si>
    <t>JEFATURA DE GABINETE: REMITE MENSAJE N° 65/25 QUE COMUNICA EL DICTADO DEL DECRETO DE NECESIDAD Y URGENCIA Nº 430/25, QUE DEROGA EL ART. 2 DE LA LEY Nº 26.876 - "DIA DEL TRABAJADOR DEL ESTADO" -.</t>
  </si>
  <si>
    <t>ROMERO: REPRODUCE EL PROYECTO DE LEY QUE MODIFICA SU SIMILAR 24.946 - ORGANICA DEL MINISTERIO PUBLICO - RESPECTO DE LA RENOVACION DE LOS NOMBRAMIENTOS DE FUNCIONARIOS DEL MINISTERIO PUBLICO FISCAL Y DEL MINISTERIO DE DEFENSA. (REF. S. 2470/23)</t>
  </si>
  <si>
    <t>CM</t>
  </si>
  <si>
    <t>MINISTERIO DE ECONOMÍA-CONTADURÍA GENERAL DE LA NACIÓN: REMITE LOS DESCARGOS PRODUCIDOS POR LOS ORGANISMOS EN RELACION A LAS OBSERVACIONES INTERPUESTAS POR AGN A DISTINTAS RESOLUCIONES SOBRE LA CUENTA DE INVERSION DEL EJERCICIO 2019.</t>
  </si>
  <si>
    <t xml:space="preserve">  24/04/2025 -</t>
  </si>
  <si>
    <t>09/04/2025</t>
  </si>
  <si>
    <t>JEFATURA DE GABINETE: REMITE MENSAJE Nº 62/25 QUE COMUNICA EL DICTADO DEL DECRETO DE NECESIDAD Y URGENCIA Nº 425/25, QUE MODIFICA EL PRESUPUESTO GENERAL DE LA ADMINISTRACIÓN NACIONAL PARA EL EJERCICIO 2025.</t>
  </si>
  <si>
    <t xml:space="preserve"> 08/07/2025 -</t>
  </si>
  <si>
    <t>ROMERO:  REPRODUCE EL PROYECTO DE LEY QUE DEROGA EL ART. 115 DE SU SIMILAR 27.701 - PRESUPUESTO GENERAL DE LA ADMINISTRACION NACIONAL PARA EL EJERCICIO 2023 - RESPECTO DE DEROGAR LA TASA DE SEGURIDAD DE LA AVIACION. - (REF. S. 2524/23)</t>
  </si>
  <si>
    <t>JEFATURA DE GABINETE: REMITE MENSAJE N° 74/25 QUE COMUNICA EL DICTADO DEL DECRETO N° 416/25, QUE ENCOMIENDA A LA ONC LA IMPLEMENTACIÓN DE UN NUEVO MÓDULO DEL SISTEMA DE GESTIÓN ELECTRÓNICA CONTRAT.AR - ESTABLECE EL USO DEL SISTEMA DE GESTIÓN ELECTRÓNICA SUBAST.AR - PRIVATIZACIONES.</t>
  </si>
  <si>
    <t>ROMERO: PROYECTO DE LEY QUE MODIFICA EL INC. A) DEL ART. 2 DE SU SIMILAR 26.529 - DERECHOS DEL PACIENTE, HISTORIA CLINICA Y CONSENTIMIENTO INFORMADO - INCORPORANDO EL CARÁCTER DE PRIORITARIO A LA ASISTENCIA A PERSONAS DE LA TERCERA EDAD.</t>
  </si>
  <si>
    <t>JEFATURA DE GABINETE: REMITE MENSAJE N° 60/25, QUE COMUNICA EL DICTADO DEL DECRETO DE FACULTADES DELEGADAS Nº 396/25, QUE DISPONE LA TRANSFORMACIÓN DEL INA Y LA FUSIÓN DEL INPRES EN EL SEGEMAR.</t>
  </si>
  <si>
    <t>GARCIA LARRABURU: PROYECTO DE LEY QUE MODIFICA SU SIMILAR 26.020 -REGIMEN REGULATORIO DE LA INDUSTRIA Y COMERCIALIZACION DEL GAS LICUADO DE PETROLEO (GLP)- RESPECTO DE ESTABLECER LA CONSTRUCCION DE UNA PLANTA DE PRODUCCION DE ENVASES Y CILINDROS DE GLP EN LA ZONA DE INGENIERO JACOBACCI, PROV. DE RIO NEGRO.</t>
  </si>
  <si>
    <t>JEFATURA DE GABINETE: REMITE MENSAJE N° 59/25, QUE COMUNICA EL DICTADO DEL DECRETO DE FACULTADES DELEGADAS Nº 408/25, - AGRICULTURA, GANADERÍA Y PESCA - DISOLUCIONES -.</t>
  </si>
  <si>
    <t>GARCIA LARRABURU: PROYECTO DE LEY QUE MODIFICA SU SIMILAR 22.421 - PROTECCION Y CONSERVACION DE LA FAUNA SILVESTRE - RESPECTO DE ACTUALIZAR LAS PENAS Y MONTOS PARA LAS INFRACCIONES.</t>
  </si>
  <si>
    <t>JEFATURA DE GABINETE: REMITE MENSAJE N° 58/25, QUE COMUNICA EL DICTADO DEL DECRETO DE FACULTADES DELEGADAS Nº 410/25, QUE DEROGA LA LEY N° 17.606 - VIVEROS.</t>
  </si>
  <si>
    <t>GARCIA LARRABURU: PROYECTO DE LEY QUE CREA UN REGIMEN PREVISIONAL ESPECIAL PARA LOS TRABAJADORES DE LA EX EMPRESA INDUSTRIAS PATAGÓNICA (INDUPA) S.A.I.C. DE LA UNIDAD PRODUCTIVA DE CINCO SALTOS, PROV. DE RIO NEGRO.</t>
  </si>
  <si>
    <t>JEFATURA DE GABINETE: REMITE MENSAJE N° 57/25, QUE COMUNICA EL DICTADO DEL DECRETO DE FACULTADES DELEGADAS Nº 415/25, QUE DISUELVEN - FIDEICOMISO INDIVIDUAL PPP RED DE AUTOPISTAS Y RUTAS SEGURAS - FONDO FIDUCIARIO PARA SUBSIDIOS DE CONSUMOS RESIDENCIALES DE GLP.</t>
  </si>
  <si>
    <t>GARCIA LARRABURU: PROYECTO DE LEY QUE DECLARA ACTIVIDAD ESENCIAL EL DESARROLLO DE LA CIENCIA Y TECNOLOGÍA EN TODO EL TERRITORIO NACIONAL, ACORDE A LA LEY 25.467</t>
  </si>
  <si>
    <t>JEFATURA DE GABINETE: REMITE MENSAJE N° 56/25, QUE COMUNICA EL DICTADO DEL DECRETO DE FACULTADES DELEGADAS Nº 395/25, QUE SUSTITUYE EL ARTÍCULO 7° DE LA LEY N° 25.613 - RÉGIMEN DE IMPORTACIONES PARA INSUMOS DESTINADOS A INVESTIGACIONES CIENTÍFICO-TECNOLÓGICAS - ROECYT.</t>
  </si>
  <si>
    <t>GARCIA LARRABURU: PROYECTO DE LEY QUE ESTABLECE LAS BASES PARA EL DESARROLLO DEL TURISMO RURAL COMUNITARIO.</t>
  </si>
  <si>
    <t>GARCIA LARRABURU: PROYECTO DE LEY QUE MODIFICA SU SIMILAR 24.449 - TRANSITO- SOBRE DISTANCIA DE SOBREPASO Y MODO DE ADELANTAMIENTO AL CICLISTA Y OTRAS CUESTIONES CONEXAS.</t>
  </si>
  <si>
    <t xml:space="preserve"> 3 24/04/2025 -</t>
  </si>
  <si>
    <t>GARCIA LARRABURU: PROYECTO DE LEY QUE ESTABLECE LA OBLIGATORIEDAD DE CAPACITACION EN TODOS LOS ESTABLECIMIENTOS EDUCATIVOS SECUNDARIOS PUBLICOS Y PRIVADOS, DE LA REALIZACION DE LAS MANIOBRAS HEIMLICH Y OTRAS AFINES.</t>
  </si>
  <si>
    <t>AUDITORIA GENERAL DE LA NACION: COMUNICA RESOLUCION N° 57/25 MEDIANTE LA CUAL SE DA POR CUMPLIDA LA INTERVENCION CORRESPONDIENTE A LA CUENTA DE INVERSION DEL EJERCICIO FISCAL 2020, RESPECTO DEL INFORME DEL AUDITOR SOBRE LA EJECUCION PRESUPUESTARIA, EN EL AMBITO DEL MIN. DE ECONOMIA (EX MIN. DE HAC. DE LA NACION) Y EN LOS RESPECTIVOS ORGANISMOS.</t>
  </si>
  <si>
    <t>GARCIA LARRABURU: PROYECTO DE LEY QUE ESTABLECE UN MARCO REGULATORIO DE MEDIOS DE TRANSPORTE DE PERSONAS POR CABLE.</t>
  </si>
  <si>
    <t>AUDITORIA GENERAL DE LA NACION: COMUNICA RESOLUCION N° 56/25 MEDIANTE LA CUAL SE DA POR CUMPLIDA LA INTERVENCION CORRESPONDIENTE A LA CUENTA DE INVERSION DEL EJERCICIO FISCAL 2020, RESPECTO DEL INFORME DEL AUDITOR SOBRE LOS ESTADOS CONTABLES DEL SECTOR PUBLICO NACIONAL, PARA EL EJERCICIO 2020.</t>
  </si>
  <si>
    <t>JEFATURA DE GABINETE: REMITE MENSAJE N° 61/25, QUE COMUNICA EL DICTADO DEL DECRETO DE FACULTADES DELEGADAS Nº 383/25, QUE APRUEBA EL ESTATUTO DE LA POLICIA FEDERAL ARGENTINA.</t>
  </si>
  <si>
    <t>GARCIA LARRABURU: PROYECTO DE LEY QUE ESTABLECE EL CAMBIO DE COEFICIENTE DE AJUSTE (CER) POR EL COEFICIENTE DE VARIACION SALARIAL (CVS) PARA LOS DEUDORES HIPOTECARIOS CON CREDITOS OTORGADOS EN UNIDADES DE VALOR ADQUISITIVO (UVA)</t>
  </si>
  <si>
    <t>AUDITORIA GENERAL DE LA NACION: COMUNICA RESOLUCION N° 55/25 MEDIANTE LA CUAL SE DA POR CUMPLIDA LA INTERVENCION CORRESPONDIENTE A LA CUENTA DE INVERSION DEL EJERCICIO FISCAL 2020, RESPECTO DEL INFORME A LA ADMINISTRACION FEDERAL DE INGRESOS PUBLICOS (AFIP).</t>
  </si>
  <si>
    <t>JEFATURA DE GABINETE: REMITE RESPUESTA SOBRE DIVERSOS PUNTOS RELACIONADOS AL ESTADO DE AVANCE Y EJECUCIÓN DEL PROGRAMA NACIONAL "LIBROS PARA APRENDER" (REF. S. 612/24).</t>
  </si>
  <si>
    <t>26/06/2025</t>
  </si>
  <si>
    <t>GARCIA LARRABURU: PROYECTO DE LEY DE DETERMINACION DEL PLAZO PRESCRIPTIVO Y EXENCION DE TASA PARA VICTIMAS DE RESPONSABILIDAD EXTRACONTRACTUAL DEL ESTADO.</t>
  </si>
  <si>
    <t>AUDITORIA GENERAL DE LA NACION: COMUNICA RESOLUCION N° 54/25 MEDIANTE LA CUAL SE DA POR CUMPLIDA LA INTERVENCION CORRESPONDIENTE A LA CUENTA DE INVERSION DEL EJERCICIO FISCAL 2020, RESPECTO DEL INFORME DE AUDITORIA FINANCIERA Y DE CUMPLIMIENTO GUBERNAMENTAL, CUYO OBJETO ES "CUENTA DE INVERSION - CAPITULO DEUDA PUBLICA - EJERCICIO 2020", EN EL AMBITO DEL MIN. DE ECONOMIA.</t>
  </si>
  <si>
    <t>GARCIA LARRABURU: PROYECTO DE LEY DE PRESUPUESTOS MINIMOS PARA LA BIODIVERSIDAD EN AMBIENTES CULTIVADOS.</t>
  </si>
  <si>
    <t>AUDITORIA GENERAL DE LA NACION: COMUNICA RESOLUCION N° 53/25 MEDIANTE LA CUAL SE DA POR CUMPLIDA LA INTERVENCION CORRESPONDIENTE A LA CUENTA DE INVERSION DEL EJERCICIO FISCAL 2020, RESPECTO DEL INFORME REFERIDO A LA ADMINISTRACION NAC. DE LA SEGURIDAD SOCIAL.</t>
  </si>
  <si>
    <t>JEFATURA DE GABINETE: REMITE RESPUESTA SOBRE DIVERSOS PUNTOS RELACIONADOS A LOS DISPOSITIVOS MOVILES EN EL AMBITO ESCOLAR (REF. S. 404/24).</t>
  </si>
  <si>
    <t>GARCIA LARRABURU: PROYECTO DE LEY SOBRE RÉGIMEN DE PROMOCIÓN DE LA PROSPECCIÓN, PRODUCCIÓN, PROCESAMIENTO, ELABORACIÓN, DISTRIBUCIÓN Y COMERCIALIZACIÓN DEL ALGA UNDARIA PINNATÍFIDA.</t>
  </si>
  <si>
    <t>AUDITORIA GENERAL DE LA NACION: COMUNICA RESOLUCION N° 52/25 MEDIANTE LA CUAL SE DA POR CUMPLIDA LA INTERVENCION CORRESPONDIENTE A LA CUENTA DE INVERSION DEL EJERCICIO FISCAL 2020, RESPECTO DEL INFORME REFERIDO AL REGISTRO Y EXPOSICION DE RECURSOS, EN EL AMBITO DEL MIN. DE ECONOMIA (EX MIN. DE HAC. DE LA NACION).</t>
  </si>
  <si>
    <t>JEFATURA DE GABINETE: REMITE RESPUESTA SOBRE DIVERSOS PUNTOS RELACIONADOS AL PROGRAMA NACIONAL DE OLIMPIADAS (REF. S. 644/24).</t>
  </si>
  <si>
    <t>GARCIA LARRABURU: PROYECTO DE LEY QUE INCORPORA A LA FIBROMIALGIA DENTRO DE LAS PRESTACIONES COMPRENDIDAS EN EL PROGRAMA MEDICO OBLIGATORIO (PMO).</t>
  </si>
  <si>
    <t>AUDITORIA GENERAL DE LA NACION: COMUNICA RESOLUCION N° 51/25 MEDIANTE LA CUAL SE DA POR CUMPLIDA LA INTERVENCION CORRESPONDIENTE A LA CUENTA DE INVERSION DEL EJERCICIO FISCAL 2020, RESPECTO DEL INFORME REFERIDO A LOS ESTADOS PRESUPUESTARIOS Y CONTABLES, EN EL AMBITO DEL MIN. DE ECONOMIA (EX MIN. DE HAC. DE LA NACION).</t>
  </si>
  <si>
    <t>JEFATURA DE GABINETE: REMITE RESPUESTA SOBRE EL PROGRAMA VOUCHERS EDUCATIVOS. (REF. S. 1608/24)</t>
  </si>
  <si>
    <t>GARCIA LARRABURU: PROYECTO DE LEY QUE CREA EL REGISTRO NACIONAL DE DEUDORES ALIMENTARIOS MOROSOS (RENDAM).</t>
  </si>
  <si>
    <t>AUDITORIA GENERAL DE LA NACION: COMUNICA RESOLUCION N° 50/25 MEDIANTE LA CUAL SE DA POR CUMPLIDA LA INTERVENCION CORRESPONDIENTE A LA CUENTA DE INVERSION DEL EJERCICIO FISCAL 2020, RESPECTO DEL INFORME REFERIDO A LOS ESTADOS CONTABLES DE LA ADMINISTRACION CENTRAL.</t>
  </si>
  <si>
    <t>JEFATURA DE GABINETE: REMITE RESPUESTA SOBRE EL CONVENIO FIRMADO ENTRE LA AGENCIA DE ADMINISTRACION DE BIENES DEL ESTADO DE LA NACION Y EL GOBIERNO DE LA PROV. DE SALTA (REF. S. 1630/24).</t>
  </si>
  <si>
    <t>GARCIA LARRABURU: PROYECTO DE LEY QUE INCORPORA A LA DERMATITIS ATÓPICA DENTRO DE LAS PRESTACIONES COMPRENDIDAS EN EL PROGRAMA MÉDICO OBLIGATORIO (PMO).</t>
  </si>
  <si>
    <t>AUDITORIA GENERAL DE LA NACION: COMUNICA RESOLUCION N° 49/25 MEDIANTE LA CUAL SE DA POR CUMPLIDA LA INTERVENCION CORRESPONDIENTE A LA CUENTA DE INVERSION DEL EJERCICIO FISCAL 2020, RESPECTO DEL INFORME REFERIDO AL ANALISIS DE LA GESTION CONSOLIDADA DEL SECTOR PUBLICO NACIONAL, EN EL AMBITO DEL MIN. DE ECONOMIA (EX MIN. DE HACIENDA DE LA NACION).</t>
  </si>
  <si>
    <t>GARCIA LARRABURU: PROYECTO DE LEY QUE INSTITUYE EL DÍA NACIONAL DE LA DERMATITIS ATÓPICA, EL 14 DE SEPTIEMBRE DE CADA AÑO.</t>
  </si>
  <si>
    <t>AUDITORIA GENERAL DE LA NACION: COMUNICA RESOLUCION N° 48/25 MEDIANTE LA CUAL SE DA POR CUMPLIDA LA INTERVENCION CORRESPONDIENTE A LA CUENTA DE INVERSION DEL EJERCICIO FISCAL 2020, RESPECTO DEL INFORME REFERIDO A PROYECTOS DE INVERSION, EN EL AMBITO DEL MIN. DE ECONOMIA (EX MIN. DE HACIENDA DE LA NACION).</t>
  </si>
  <si>
    <t>GARCIA LARRABURU: PROYECTO DE LEY QUE CREA EL PROGRAMA DE DESARROLLO Y PROMOCIÓN DE LA VITIVINICULTURA PATAGÓNICA.</t>
  </si>
  <si>
    <t>AUDITORIA GENERAL DE LA NACION: COMUNICA RESOLUCION N° 47/25 MEDIANTE LA CUAL SE DA POR CUMPLIDA LA INTERVENCION CORRESPONDIENTE A LA CUENTA DE INVERSION DEL EJERCICIO FISCAL 2020, RESPECTO DEL INFORME REFERIDO AL RELEVAMIENTO Y ANALISIS DE LAS NORMAS PRESUPUESTARIAS, EN EL AMBITO DEL MIN. DE ECONOMIA (EX MIN. DE HACIENDA DE LA NACION).</t>
  </si>
  <si>
    <t xml:space="preserve">JEFATURA DE GABINETE: REMITE MENSAJE N° 55/25 QUE COMUNICA EL DICTADO DEL DECRETO DE NECESIDAD Y URGENCIA Nº 379/25, SOBRE PROCEDIMIENTO DE MEDIACION PREJUDICIAL EN MATERIA DE SALUD (PROMESA) </t>
  </si>
  <si>
    <t xml:space="preserve">GARCIA LARRABURU: PROYECTO DE LEY QUE CREA LA "EMPRESA NACIONAL DE BIOTECNOLOGIA, CIENCIA Y TECNOLOGIA APLICADA A LA SALUD ARGENTINA -BIO-SALUD AR". </t>
  </si>
  <si>
    <t>AUDITORIA GENERAL DE LA NACION: COMUNICA RESOLUCION N° 46/25 MEDIANTE LA CUAL SE DA POR CUMPLIDA LA INTERVENCION CORRESPONDIENTE A LA CUENTA DE INVERSION DEL EJERCICIO FISCAL 2020, RESPECTO DEL INFORME REFERIDO AL RELEVAMIENTO DE LA RESOLUCION DE CIERRE DE CUENTAS, EN EL AMBITO DEL MIN. DE ECONOMIA (EX MIN. DE HACIENDA DE LA NACION).</t>
  </si>
  <si>
    <t>JEFATURA DE GABINETE: REMITE MENSAJE N° 54/25 QUE COMUNICA EL DICTADO DEL DECRETO DE NECESIDAD Y URGENCIA Nº 370/25, QUE PRORROGA LA EMERGENCIA DEL SECTOR ENERGÉTICO NACIONAL.</t>
  </si>
  <si>
    <t>12/06/2025</t>
  </si>
  <si>
    <t xml:space="preserve">GARCIA LARRABURU: PROYECTO DE LEY QUE INCORPORA EL ART. 10 BIS A LA LEY 23.996, TITULO III, T.O EN 1998 Y S/M - IMPUESTOS SOBRE LOS COMBUSTIBLES LIQUIDOS Y GAS NATURAL-, EXIMIENDO DEL IMPUESTO AL GAS NATURAL COMPRIMIDO (GNC) A DISTINTAS PROVINCIAS Y LOCALIDADES DEL AREA DE INFLUENCIA. </t>
  </si>
  <si>
    <t>AUDITORIA GENERAL DE LA NACION: COMUNICA RESOLUCION N° 45/25 MEDIANTE LA CUAL SE DA POR CUMPLIDA LA INTERVENCION CORRESPONDIENTE A LA CUENTA DE INVERSION DEL EJERCICIO FISCAL 2020, RESPECTO DEL INFORME REFERIDO A OBLIGACIONES A CARGO DEL TESORO - SAF 356, EN EL AMBITO DEL MIN. DE ECONOMIA (EX MIN. DE HACIENDA DE LA NACION).</t>
  </si>
  <si>
    <t>JEFATURA DE GABINETE: REMITE MENSAJE N° 53/25 QUE COMUNICA EL DICTADO DEL DECRETO DE FACULTADES DELEGADAS Nº 373/25, QUE SUSTITUYE ARTÍCULOS DE LA LEY Nº 27.654 - PERSONAS EN SITUACIÓN DE CALLE Y FAMILIAS SIN TECHO.</t>
  </si>
  <si>
    <t>GARCIA LARRABURU: PROYECTO DE LEY QUE CREA EL PROGRAMA DE EDUCACION EN EL USO DE REDES SOCIALES PARA NIÑOS Y ADOLESCENTES.</t>
  </si>
  <si>
    <t>AUDITORIA GENERAL DE LA NACION: COMUNICA RESOLUCION N° 44/25 MEDIANTE LA CUAL SE DA POR CUMPLIDA LA INTERVENCION CORRESPONDIENTE A LA CUENTA DE INVERSION DEL EJERCICIO FISCAL 2020, RESPECTO DEL INFORME MACROECONOMICO EN EL AMBITO DEL MIN. DE ECONOMIA (EX MIN. DE HACIENDA DE LA NACION).</t>
  </si>
  <si>
    <t xml:space="preserve">JEFATURA DE GABINETE: REMITE MENSAJE N° 52/25 QUE COMUNICA EL DICTADO DEL DECRETO DE NECESIDAD Y URGENCIA Nº 366/25, QUE MODIFICA LAS LEYES Nº 25.871; 24.521; 26.206 Y 346 Y S/M.
</t>
  </si>
  <si>
    <t xml:space="preserve">GARCIA LARRABURU: PROYECTO DE LEY QUE CREA LA FIGURA DEL DEFENSOR DE LAS PERSONAS MAYORES. </t>
  </si>
  <si>
    <t>AUDITORIA GENERAL DE LA NACION: COMUNICA RESOLUCION N° 43/25 MEDIANTE LA CUAL SE DA POR CUMPLIDA LA INTERVENCION CORRESPONDIENTE A LA CUENTA DE INVERSION DEL EJERCICIO FISCAL 2020, RESPECTO DEL INFORME REFERIDO AL CUMPLIMIENTO DE OBJETIVOS Y METAS, EN EL AMBITO DEL MIN. DE ECONOMIA (EX MIN. DE HACIENDA DE LA NACION).</t>
  </si>
  <si>
    <t>GARCIA LARRABURU: PROYECTO DE LEY DE INDEMNIZACIÓN A EX AGENTES DE LA EMPRESA NACIONAL DE CORREOS Y TELÉGRAFOS (ENCOTEL - ENCOTESA).</t>
  </si>
  <si>
    <t>AUDITORIA GENERAL DE LA NACION: COMUNICA RESOLUCION N° 42/25 MEDIANTE LA CUAL SE DA POR CUMPLIDA LA INTERVENCION CORRESPONDIENTE A LA CUENTA DE INVERSION DEL EJERCICIO FISCAL 2020, RESPECTO DEL INFORME REFERIDO A CONTRIBUCIONES Y REMANENTES EN EL AMBITO DEL MIN. DE ECONOMIA (EX. MIN. DE HACIENDA DE LA NACION).</t>
  </si>
  <si>
    <t xml:space="preserve">GARCIA LARRABURU: PROYECTO DE LEY QUE INDEMNIZA A EX AGENTES DE LA EMPRESA PÚBLICA DE SERVICIOS ELÉCTRICOS DEL GRAN BUENOS AIRES (SEGBA). </t>
  </si>
  <si>
    <t>AUDITORIA GENERAL DE LA NACION: COMUNICA RESOLUCION N° 41/25 MEDIANTE LA CUAL SE DA POR CUMPLIDA LA INTERVENCION CORRESPONDIENTE A LA CUENTA DE INVERSION DEL EJERCICIO FISCAL 2020, RESPECTO DEL EXAMEN ESPECIAL DE ANALISIS DE TRANSFERENCIAS EN EL AMBITO DEL MIN. DE ECONOMIA (EX MIN. DE HACIENDA DE LA NACION).</t>
  </si>
  <si>
    <t xml:space="preserve">GARCIA LARRABURU: PROYECTO DE LEY QUE DEROGA EL TITULO II DE LA LEY 26.571 -DE DEMOCRATIZACION DE LA REPRESENTACION POLITICA, LA TRANSPARENCIA Y LA EQUIDAD ELECTORAL- RESPECTO DE LAS ELECCIONES PRIMARIAS ABIERTAS, SIMULTANEAS Y OBLIGATORIAS. </t>
  </si>
  <si>
    <t>AUDITORIA GENERAL DE LA NACION: COMUNICA RESOLUCION N° 40/25 MEDIANTE LA CUAL SE DA POR CUMPLIDA LA INTERVENCION CORRESPONDIENTE A LA CUENTA DE INVERSION DEL EJERCICIO FISCAL 2020, RESPECTO DEL INFORME DE LA SEC. DE ENERGIA.</t>
  </si>
  <si>
    <t>JEFATURA DE GABINETE: REMITE MENSAJE N° 47/25, QUE COMUNICA EL DICTADO DEL DECRETO DE FACULTADES DELEGADAS Nº 344/25, SOBRE ORGANISMOS - MINISTERIO DE JUSTICIA.</t>
  </si>
  <si>
    <t xml:space="preserve">GARCIA LARRABURU: PROYECTO DE LEY QUE DECLARA CAPITAL NACIONAL DEL CURANTO A LA CIUDAD DE SAN CARLOS DE BARILOCHE, PROV. DE RIO NEGRO. </t>
  </si>
  <si>
    <t>AUDITORIA GENERAL DE LA NACION: COMUNICA RESOLUCION N° 39/25 MEDIANTE LA CUAL SE DA POR CUMPLIDA LA INTERVENCION CORRESPONDIENTE A LA CUENTA DE INVERSION DEL EJERCICIO FISCAL 2020, RESPECTO DEL INFORME DE CUMPLIMIENTO DE METAS FISICAS E INDICADORES.</t>
  </si>
  <si>
    <t>JEFATURA DE GABINETE: REMITE MENSAJE N° 51/25, QUE COMUNICA EL DICTADO DEL DECRETO DE FACULTADES DELEGADAS Nº 342/25, QUE MODIFICA LA LEY DE ASOCIACIONES SINDICALES Y SU REGLAMENTACIÓN APROBADA POR DECRETO N°467/88.</t>
  </si>
  <si>
    <t>03/06/2025</t>
  </si>
  <si>
    <t xml:space="preserve">GARCIA LARRABURU: PROYECTO DE LEY QUE INCORPORA COMO INC. Z DEL ART. 20 DE LA LEY 20.628 (T.O. DCTO. 649/97) Y S/M -IMPUESTOS A LAS GANANCIAS-, RESPECTO DE EXIMIR DEL MISMO A LAS SUMAS PERCIBIDAS EN CONCEPTO DE ADICIONALES POR ZONA DESFAVORABLE EN LA REGION PATAGONICA. </t>
  </si>
  <si>
    <t xml:space="preserve"> 2 24/04/2025 -</t>
  </si>
  <si>
    <t>AUDITORIA GENERAL DE LA NACION: COMUNICA RESOLUCION N° 38/25 MEDIANTE LA CUAL SE DA POR CUMPLIDA LA INTERVENCION CORRESPONDIENTE A LA CUENTA DE INVERSION DEL EJERCICIO FISCAL 2020, RESPECTO DEL INFORME DEL MIN. DE RELACIONES EXTERIORES, COMERCIO INTERNACIONAL Y CULTO.</t>
  </si>
  <si>
    <t>JEFATURA DE GABINETE: REMITE MENSAJE N° 50/25, QUE COMUNICA EL DICTADO DEL DECRETO DE FACULTADES DELEGADAS Nº 341/25, QUE SUSTITUYE EL ARTÍCULO 10° DE LA LEY N° 26.075 - FINANCIAMIENTO EDUCATIVO</t>
  </si>
  <si>
    <t>GARCIA LARRABURU: PROYECTO DE LEY QUE CREA EL PROGRAMA NACIONAL DE PROMOCIÓN Y DESARROLLO DE POLOS AGROALIMENTARIOS.</t>
  </si>
  <si>
    <t>AUDITORIA GENERAL DE LA NACION: COMUNICA RESOLUCION N° 37/25 MEDIANTE LA CUAL SE DA POR CUMPLIDA LA INTERVENCION CORRESPONDIENTE A LA CUENTA DE INVERSION DEL EJERCICIO FISCAL 2020, RESPECTO DEL INFORME DEL MIN. DE SALUD.</t>
  </si>
  <si>
    <t>GARCIA LARRABURU: PROYECTO DE LEY QUE REGULA LA ACTIVIDAD PROFESIONAL DE GUÍA DE MONTAÑA, EJERCIDA DE FORMA AUTÓNOMA O EN RELACIÓN DE DEPENDENCIA, EN TODO EL TERRITORIO NACIONAL.</t>
  </si>
  <si>
    <t>AUDITORIA GENERAL DE LA NACION: COMUNICA RESOLUCION N° 36/25 MEDIANTE LA CUAL SE DA POR CUMPLIDA LA INTERVENCION CORRESPONDIENTE A LA CUENTA DE INVERSION DEL EJERCICIO FISCAL 2020, RESPECTO DEL INFORME DEL EX MIN. DE AMBIENTE Y DESARROLLO SOSTENIBLE.</t>
  </si>
  <si>
    <t>JEFATURA DE GABINETE: REMITE MENSAJE Nº 44/25 QUE COMUNICA EL DICTADO DEL DECRETO DE NECESIDAD Y URGENCIA Nº 338/25, QUE MODIFICA EL CÓDIGO AERONÁUTICO.</t>
  </si>
  <si>
    <t>GARCIA LARRABURU: PROYECTO DE LEY QUE DECLARA TRABAJO INSALUBRE A LA ACTIVIDAD LABORAL REALIZADA POR AERONAVEGANTES CON FUNCION AERONAUTICA.</t>
  </si>
  <si>
    <t>AUDITORIA GENERAL DE LA NACION: COMUNICA RESOLUCION N° 35/25 QUE APRUEBA EL MEMORANDO SOBRE EL SISTEMA DE CONTROL INTERNO, CORRESPONDIENTE AL EJERCICIO FINALIZADO EL 31/12/2024, DEL BANCO DE LA NACION ARGENTINA Y ADJUNTA SOBRE RESERVADO.</t>
  </si>
  <si>
    <t>JEFATURA DE GABINETE: REMITE MENSAJE N° 45/25, QUE COMUNICA EL DICTADO DEL DECRETO DE FACULTADES DELEGADAS Nº 333/25, SOBRE DERECHO DE IMPORTACIÓN EXTRAZONA (D.I.E.)- IMPUESTOS INTERNOS.</t>
  </si>
  <si>
    <t>GARCIA LARRABURU: PROYECTO DE LEY QUE PROHIBE LOS BASURALES A CIELO ABIERTO.</t>
  </si>
  <si>
    <t>AUDITORIA GENERAL DE LA NACION: COMUNICA RESOLUCION N° 34/25 QUE APRUEBA EL INFORME RESPECTO DE LOS ESTADOS FINANCIEROS CONSOLIDADOS Y SEPARADOS DEL BANCO DE LA NACION ARGENTINA, EJERCICIO FINALIZADO EL 31/12/2024.</t>
  </si>
  <si>
    <t>JEFATURA DE GABINETE: REMITE MENSAJE N° 43/25, QUE COMUNICA EL DICTADO DEL DECRETO DE FACULTADES DELEGADAS Nº 339/25, QUE DEROGA LOS ARTÍCULOS 12, 13, 14, 16, 17, 18, 19, 20, 21, 22, 23 Y 105 DE LA LEY N° 24.467 (MARCO REGULATORIO DE LA PEQUEÑA Y MEDIANA EMPRESA) Y S/M Y LOS ARTÍCULOS 1º AL 9° Y 12 AL 14 DE LA LEY N° 25.872(PROGRAMA NACIONAL DE APOYO AL EMPRESARIO JOVEN).</t>
  </si>
  <si>
    <t xml:space="preserve"> 45 10/07/2025 -</t>
  </si>
  <si>
    <t>GARCIA LARRABURU: PROYECTO DE LEY SOBRE PROCEDIMIENTO PARA LA DECLARACION DE FIESTAS NACIONALES Y CAPITALES NACIONALES.</t>
  </si>
  <si>
    <t>11/03/2025</t>
  </si>
  <si>
    <t>JEFATURA DE GABINETE: REMITE MENSAJE Nº 42/25 QUE COMUNICA EL DICTADO DEL DECRETO DE NECESIDAD Y URGENCIA Nº 317/25, QUE MODIFICA LA LEY DE MINISTERIOS - MINISTERIO DE DEFENSA - AERONAVES.</t>
  </si>
  <si>
    <t>23/05/2025</t>
  </si>
  <si>
    <t>GARCIA LARRABURU: PROYECTO DE LEY SOBRE EJERCICIO DE FACILITADORES EN CONSTELACIONES FAMILIARES Y SISTEMATICAS.</t>
  </si>
  <si>
    <t xml:space="preserve">GARCIA LARRABURU: PROYECTO DE LEY QUE DECLARA CAPITAL NACIONAL DE LA SEMILLA DE ALFALFA A LA LOC. DE CORONEL BELISLE, PROV. DE RIO NEGRO. </t>
  </si>
  <si>
    <t xml:space="preserve">JEFATURA DE GABINETE: REMITE MENSAJE N° 40/25, QUE COMUNICA EL DICTADO DEL DECRETO DE FACULTADES DELEGADAS Nº 311/25, QUE TRANSFIERE A LA CAJA DE RETIROS, JUBILACIONES Y PENSIONES DE LA POLICÍA FEDERAL LAS FUNCIONES Y COMPETENCIAS EN MATERIA PREVISIONAL ASIGNADAS POR LA LEY 23.794 A LA ADMINISTRACIÓN DE PARQUES NACIONALES </t>
  </si>
  <si>
    <t>20/05/2025</t>
  </si>
  <si>
    <t xml:space="preserve">GARCIA LARRABURU: PROYECTO DE LEY QUE DECLARA "FIESTA NACIONAL DEL CORDERO PATAGONICO", A REALIZARSE EN LA LOC. DE SIERRA COLORADA, PROV. DE RIO NEGRO, EN EL MES DE DICIEMBRE. </t>
  </si>
  <si>
    <t>JEFATURA DE GABINETE: REMITE MENSAJE N° 38/25, QUE COMUNICA EL DICTADO DEL DECRETO DE FACULTADES DELEGADAS Nº 312/25, QUE DISUELVE EL FIDEICOMISO DE ADMINISTRACIÓN Y FINANCIERO "FONDO DE INTEGRACIÓN SOCIO URBANA" (FISU), Y EL FONDO FIDUCIARIO PARA LA PROMOCIÓN CIENTÍFICA Y TECNOLÓGICA.</t>
  </si>
  <si>
    <t>GARCIA LARRABURU: PROYECTO DE LEY QUE CREA EL PROGRAMA DE PROMOCION Y FORTALECIMIENTO DE ARTISTAS CON DISCAPACIDAD.</t>
  </si>
  <si>
    <t>JEFATURA DE GABINETE: REMITE MENSAJE N° 41/25, QUE COMUNICA EL DICTADO DEL DECRETO DE FACULTADES DELEGADAS Nº 304/25, SOBRE EL REGISTRO NACIONAL DE DATOS GENÉTICOS VINCULADOS CON LA INVESTIGACIÓN CRIMINAL - SUSTITUYE EL ART. 2 DE LA LEY 26.879.</t>
  </si>
  <si>
    <t xml:space="preserve"> 39 21/08/2025 -</t>
  </si>
  <si>
    <t xml:space="preserve"> 19/05/2025 -</t>
  </si>
  <si>
    <t>GARCIA LARRABURU: PROYECTO DE LEY QUE INSTITUYE EL REGIMEN DE PROMOCION EN LA ELABORACION, DISTRIBUCION Y COMERCIALIZACION, DE BEBIDAS ESPIRITUOSAS ARTESANALES.</t>
  </si>
  <si>
    <t>JEFATURA DE GABINETE: REMITE MENSAJE N° 39/25, QUE COMUNICA EL DICTADO DEL DECRETO DE FACULTADES DELEGADAS Nº 305/25, QUE FIJA LA ALÍCUOTA DEL DERECHO DE EXPORTACIÓN - MERCOSUR</t>
  </si>
  <si>
    <t>RODAS: PROYECTO DE LEY SOBRE PROTECCION DE PERSONAS EN INVESTIGACION BIOMEDICA.</t>
  </si>
  <si>
    <t>RODAS: PROYECTO DE LEY SOBRE GESTION, PROMOCION Y FOMENTO DEL RECICLADO DEL VIDRIO.</t>
  </si>
  <si>
    <t>JEFATURA DE GABINETE: REMITE MENSAJE Nº 36/25 QUE COMUNICA EL DICTADO DEL DECRETO DE NECESIDAD Y URGENCIA Nº 292/25, SOBRE EJERCICIO "TRADEWINDS" Y EJERCICIO "ESTRELLA AUSTRAL".</t>
  </si>
  <si>
    <t>13/05/2025</t>
  </si>
  <si>
    <t>RODAS: PROYECTO DE LEY SOBRE IMPRESCRIPTIBILIDAD DE LOS DELITOS SEXUALES EN MENORES.</t>
  </si>
  <si>
    <t>JEFATURA DE GABINETE: REMITE MENSAJE N° 37/25 QUE COMUNICA EL DICTADO DEL DECRETO N° 286/25, QUE AUTORIZA LA PRIVATIZACIÓN TOTAL DE ENERGÍA ARGENTINA SOCIEDAD ANÓNIMA - VENTAS DE ACCIONES CITELEC.</t>
  </si>
  <si>
    <t>RODAS: PROYECTO DE LEY QUE INCORPORA EL ART. 159 BIS, A SU SIMILAR 11.179 -CODIGO PENAL DE LA NACION- SOBRE MOBBING LABORAL.</t>
  </si>
  <si>
    <t>JEFATURA DE GABINETE: REMITE NOTA POR LA CUAL SE ACOMPAÑA COPIA DE LA DECISIÓN ADMINISTRATIVA N° 10/25 QUE MODIFICO EL PRESUPUESTO DE LA ADMINISTRACIÓN PÚBLICA NACIONAL, EN VIRTUD DE LO DISPUESTO EN EL ART. 37 DE LA LEY 24.156 - ADMINISTRACIÓN FINANCIERA Y DE LOS SISTEMAS DE CONTROL DEL SECTOR PUBLICO NACIONAL -.</t>
  </si>
  <si>
    <t>07/05/2025</t>
  </si>
  <si>
    <t>RODAS: PROYECTO DE LEY SOBRE SOCIEDADES DE BENEFICIO E INTERES COMUN.</t>
  </si>
  <si>
    <t>AUDITORIA GENERAL DE LA NACION: COMUNICA RESOLUCION N° 23/25 QUE APRUEBA EL INFORME REFERIDO A "SISTEMAS DE INFORMACION RELATIVOS A LA PREVENCION Y CONTROL DE SINIESTROS VIALES Y A LA ELABORACION DE ESTADISTICAS" -  SEGUIMIENTO DEL INFORME QUE FUERA APROBADO MEDIANTE RES. Nº 108/2020 -AGN, REALIZADO EN EL AMBITO DE LA AG. NAC. DE SEG. VIAL - PERIODO AUDITADO: 01/10/2020 AL 31/07/2023.</t>
  </si>
  <si>
    <t>JEFATURA DE GABINETE: REMITE MENSAJE N° 35/25, QUE COMUNICA EL DICTADO DEL DECRETO DE FACULTADES DELEGADAS Nº 274/25, QUE MODIFICA LAS LEYES 25.246 - CREACION DE LA UIF- Y 25.520 - LEY DE INTELIGENCIA NACIONAL-, MODIFICANDO CUESTIONES RELACIONADAS CON LA UIF Y LA AFC.</t>
  </si>
  <si>
    <t xml:space="preserve"> 32 07/05/2025 -</t>
  </si>
  <si>
    <t>05/05/2025</t>
  </si>
  <si>
    <t>RODAS: PROYECTO DE LEY QUE TRANSFIERE A TITULO GRATUITO A FAVOR DE LA FEDERACION ARGENTINA DE MUNICIPIOS, UN INMUEBLE PROPIEDAD DEL ESTADO NACIONAL, UBICADO EN LA CALLE CERRITO N° 832/834/836, PLANTA BAJA, CABA.</t>
  </si>
  <si>
    <t>CD</t>
  </si>
  <si>
    <t xml:space="preserve">PROYECTO DE LEY EN REVISION QUE DECLARA LA NULIDAD ABSOLUTA E INSANABLE DE LA CLAUSULA SUSPENSIVA DEL DECRETO DEL PEN N°681/25, RESPECTO DEL FINANCIAMIENTO DE LA EMERGENCIA EN MATERIA DE DISCAPACIDAD.
</t>
  </si>
  <si>
    <t>AUDITORIA GENERAL DE LA NACION: COMUNICA RESOLUCION N° 22/25 QUE APRUEBA EL EXAMEN LLEVADO A CABO EN EL AMBITO DE LA SEC. DE TRANSPORTE DEL MINISTERIO DE ECONOMIA SOBRE LA GESTION DEL EX MIN. DE TRANSPORTE EN CUANTO A LA GESTION DE LAS COMPRAS Y CONTRATACIONES PARA EL PERIODO 2018-2022.</t>
  </si>
  <si>
    <t>JEFATURA DE GABINETE: REMITE MENSAJE Nº 34/25 QUE COMUNICA EL DICTADO DEL DECRETO DE NECESIDAD Y URGENCIA Nº 271/25, POR EL QUE MODIFICA LA LEY DE MINISTERIOS.</t>
  </si>
  <si>
    <t>30/04/2025</t>
  </si>
  <si>
    <t>RODAS: PROYECTO DE LEY SOBRE DESARROLLO Y PROMOCION DE LA MARINA MERCANTE NACIONAL.</t>
  </si>
  <si>
    <t>PROYECTO DE LEY EN REVISION QUE CREA EL PROGRAMA NACIONAL DE LUCHA CONTRA LA ENFERMEDAD DE ALZHEIMER Y OTRAS DEMENCIAS - PLEA -.</t>
  </si>
  <si>
    <t>AUDITORIA GENERAL DE LA NACION: COMUNICA RESOLUCION N° 21/25 QUE APRUEBA EL EXAMEN ESPECIAL SOBRE EL RELEVAMIENTO Y ANALISIS DE LOS CRITERIOS DE SELECCIÓN DE LOS CONSULTORES Y FIRMAS CONSULTORAS EN LA CONTRATACION DE SERV. DE CONSULTORIA, BAJO EL MARCO NORMATIVO DE LOS CONVENIOS DE PRESTAMOS CON ORG. INTERNACIONALES DE CREDITO Y VERIFICACION Y ANALISIS DE LOS MONTOS INVOLUCRADOS EN EL PERIODO 2016 - 2023 EN EL AMBITO DE LA JEF. DE GAB. DE MIN. Y DEL MIN. DE ECONOMIA - PERIODO AUDITADO: 01/01/2016 AL 31/12/2023.</t>
  </si>
  <si>
    <t>JEFATURA DE GABINETE: REMITE MENSAJE N° 33/25, QUE COMUNICA EL DICTADO DEL DECRETO DE NECESIDAD Y URGENCIA Nº 269/25, QUE DEROGA EL DNU 28/23, REFERIDO AL PROGRAMA DE INCREMENTO EXPORTADOR.</t>
  </si>
  <si>
    <t xml:space="preserve"> 30 07/05/2025 -</t>
  </si>
  <si>
    <t>28/04/2025</t>
  </si>
  <si>
    <t>RODAS: PROYECTO DE LEY SOBRE PRESUPUESTOS MINIMOS SOBRE SEGURIDAD DE PRESAS Y EMBALSES.</t>
  </si>
  <si>
    <t>PROYECTO DE LEY EN REVISION QUE DECLARA LA EMERGENCIA Y FINANCIAMIENTO DEL SISTEMA NACIONAL DE CIENCIA, TECNOLOGIA E INNOVACION.</t>
  </si>
  <si>
    <t>AUDITORIA GENERAL DE LA NACION: COMUNICA RESOLUCION N° 20/25 QUE APRUEBA EL INFORME REALIZADO EN EL AMBITO DE LA SEC. DE ENERGIA, ENARSA Y ENARGAS REFERIDA A "GESTION DEL PRECIO DEL GAS Y SU IMPACTO EN LOS SEG. DE TRANSP. Y DISTRIB. (LEY 24.076) Y PLANIFICACION Y EJECUCION DE LAS ACTIVIDADES DE EXPORTACION E IMPORTACION DE GAS NATURAL CON MIRAS AL LOGRO DEL OBJETIVO DE AUTOABASTECIMIENTO HIDROCARBURIFERO" - PERIODO AUDITADO 01/01/2016 AL 31/12/2022.</t>
  </si>
  <si>
    <t>JEFATURA DE GABINETE: REMITE INFORME SOBRE LAS OPERACIONES DE CRÉDITO PÚBLICO REALIZADAS POR EL ORGANO RESPONSABLE DE LA COORDINACION DE LOS SISTEMAS DE ADMINISTRACION FINANCIERA, DURANTE EL PRIMER TRIMESTRE DE 2025, EN CUMPLIMIENTO DEL ART. 37 DE LA LEY 27.701 -PRESUPUESTO GENERAL DE LA ADMINISTRACIÓN PUBLICA - CORRESPONDIENTE AL EJERCICIO 2023.</t>
  </si>
  <si>
    <t>21/04/2025</t>
  </si>
  <si>
    <t>RODAS: PROYECTO DE LEY QUE REGULA EL EJERCICIO PROFESIONAL DE TRABAJADORES DE LA PSICOLOGÍA SOCIAL.</t>
  </si>
  <si>
    <t xml:space="preserve">PROYECTO DE LEY EN REVISION QUE DECLARA HEROE NACIONAL AL BRIGADIER ESTANISLAO LOPEZ "PATRIARCA DEL FEDERALISMO ARGENTINO" EN RECONOCIMIENTO A SU ACCIONAR EN DEFENSA DE LOS IDEALES FEDERALES Y REPUBLICANOS.
</t>
  </si>
  <si>
    <t>AUDITORIA GENERAL DE LA NACION: COMUNICA RESOLUCION N° 19/25 QUE APRUEBA EL INFORME REFERIDO AL PROGRAMA DE REPARACION HISTORICA: CASOS CON PROCESOS JUDICIALES Y SIN JUICIO - EJERCICIO 2018 A JULIO 2019, EN EL AMBITO DE LA ADM. NAC. DE LA SEGURIDAD SOCIAL.</t>
  </si>
  <si>
    <t>JEFATURA DE GABINETE: REMITE MENSAJE N° 32/25, QUE COMUNICA EL DICTADO DEL DECRETO DE FACULTADES DELEGADAS Nº 236/25, SOBRE POSICIONES ARANCELARIAS DE LA NOMENCLATURA COMÚN DEL MERCOSUR - TEXTIL Y CALZADOS.</t>
  </si>
  <si>
    <t>11/04/2025</t>
  </si>
  <si>
    <t>RODAS: PROYECTO DE LEY QUE INSTITUYE A LA SEGUNDA SEMANA DE MARZO DE CADA AÑO COMO, "SEMANA NACIONAL DE SENSIBILIZACION SOBRE LA SAL".</t>
  </si>
  <si>
    <t xml:space="preserve"> 1 24/04/2025 -</t>
  </si>
  <si>
    <t xml:space="preserve">AUDITORIA GENERAL DE LA NACION: COMUNICA RESOLUCION Nº 18/25, QUE APRUEBA EL EXAMEN ESPECIAL SOBRE LA EJECUCION PRESUPUESTARIA CORRESPONDIENTE AL PRIMER SEMESTRE DE 2024, EN EL AMBITO DE LA SECRETARIA DE HACIENDA DEL MINISTERIO DE ECONOMIA.
</t>
  </si>
  <si>
    <t>P</t>
  </si>
  <si>
    <t>PP</t>
  </si>
  <si>
    <t>JORGE ANTONIO MIGUEL: SOLICITA EL PRONTO DESPACHO RESPECTO DEL PLANTEO DE IMPUGNACION AL DIPLOMA DE LOS SENADORES NACIONALES POR LA "PRIMERA MAYORIA" Y LA "PRIMERA MINORIA" (REF. P. 19/25)</t>
  </si>
  <si>
    <t>JEFATURA DE GABINETE: REMITE MENSAJE N° 31/25, QUE COMUNICA EL DICTADO DEL DECRETO DE FACULTADES DELEGADAS Nº 234/25, QUE DISUELVE EL FONDO FIDUCIARIO PARA EL TRANSPORTE ELÉCTRICO FEDERAL.</t>
  </si>
  <si>
    <t>RODAS: PROYECTO DE LEY SOBRE EFICIENTIZACION DEL USO DEL AGUA - CISTERNAS DE DOBLE DESCARGA.</t>
  </si>
  <si>
    <t xml:space="preserve">JORGE ANTONIO MIGUEL: PLANTEA LA IMPUGNACION AL DIPLOMA DE LOS SENADORES NACIONALES POR LA "PRIMERA MAYORIA" Y LA "PRIMERA MINORIA".
</t>
  </si>
  <si>
    <t>JEFATURA DE GABINETE: REMITE COPIA DEL INFORME ELABORADO, SOBRE LA EJECUCION PRESUPUESTARIA DE LOS FONDOS FIDUCIARIOS DEL ESTADO NACIONAL CORRESPONDIENTE AL CUARTO TRIMESTRE DE 2024.</t>
  </si>
  <si>
    <t>15/04/2025</t>
  </si>
  <si>
    <t>RODAS: PROYECTO DE LEY SOBRE DELITOS CONTRA EL AMBIENTE.</t>
  </si>
  <si>
    <t>RODAS: PROYECTO DE LEY QUE CREA EL PLAN DE INVERSIÓN AGROINDUSTRIAL RECONVERSIÓN DE LA MATRIZ DE ALMACENAMIENTO DE GRANOS.</t>
  </si>
  <si>
    <t>JEFATURA DE GABINETE: REMITE INFORME CIRCUNSTANCIADO SOBRE EL PROCEDIMIENTO PARA LA INTERVENCIÓN DE CORREDORES VIALES SOCIEDAD ANÓNIMA, EN EL MARCO DEL ART. 7° DE LA LEY 27.742 (BASES Y PUNTOS DE PARTIDA PARA LA LIBERTAD DE LOS ARGENTINOS) Y DE CONFORMIDAD CON EL PROCEDIMIENTO PREVISTO EN EL ART. 3° DEL ANEXO I DEL DECRETO N° 695/24</t>
  </si>
  <si>
    <t>RODAS: PROYECTO DE LEY DE REGIMEN LEGAL DE ADOPCION Y FIGURAS DE CUIDADO FAMILIAR ALTERNATIVO.</t>
  </si>
  <si>
    <t>AUDITORIA GENERAL DE LA NACION: COMUNICA DISPOSICION N° 51/25, VINCULADA CON EL FONDO ESPECIAL DE RESERVA DE LA AGN.</t>
  </si>
  <si>
    <t>14/03/2025</t>
  </si>
  <si>
    <t>JEFATURA DE GABINETE: REMITE INFORME CIRCUNSTANCIADO SOBRE EL PROCEDIMIENTO PARA LA PRIVATIZACIÓN TOTAL DE INTERCARGO S.A.U-, EN EL MARCO DEL ART. 7° DE LA LEY 27.742 (BASES Y PUNTOS DE PARTIDA PARA LA LIBERTAD DE LOS ARGENTINOS) Y DE CONFORMIDAD CON EL PROCEDIMIENTO PREVISTO EN EL ART. 3° DEL ANEXO I DEL DECRETO N° 695/24</t>
  </si>
  <si>
    <t>RODAS: PROYECTO DE LEY SOBRE PRIORIDAD SANITARIA DE ATENCION, CONTROL Y PREVENCION DE LA ENFERMEDAD DIABETICA Y PROBLEMATICAS AFINES.</t>
  </si>
  <si>
    <t xml:space="preserve">PROYECTO DE LEY EN REVISION QUE MODIFICA SU SIMILAR 27.430 (REGIMEN PENAL TRIBUTARIO) SOBRE ACTUALIZACION DE MONTOS POR EL DELITO DE EVASION TRIBUTARIA.
</t>
  </si>
  <si>
    <t>AUDITORIA GENERAL DE LA NACION: COMUNICA RESOLUCION N° 17/25 QUE APRUEBA EL INFORME DE AUDITORIA, LA SINTESIS EJECUTIVA Y LA FICHA DE PRENSA, REALIZADO EN EL AMBITO DEL ORGANISMO REGULADOR DEL SISTEMA NACIONAL DE AEROPUERTOS (ORSNA) REFERIDA AL "CONTRATO DE CONCESION DE AEROPUERTOS ARGENTINA 2000 (DCTO. 1009/20 PEN PRORROGA) - CONTROL SOBRE LOS PROCEDIMIENTOS EFECTUADOS Y GESTION DE LA RENOVACION DE LA CONCESION", PERIODO AUDITADO DESDE EL 01/01/20 AL 30/06/21.</t>
  </si>
  <si>
    <t>JEFATURA DE GABINETE: REMITE INFORME CIRCUNSTANCIADO SOBRE EL PROCEDIMIENTO PARA LA PRIVATIZACIÓN TOTAL DE BELGRANO CARGAS Y LOGÍSTICA SOCIEDAD ANÓNIMA, EN EL MARCO DEL ART. 7° DE LA LEY 27.742 (BASES Y PUNTOS DE PARTIDA PARA LA LIBERTAD DE LOS ARGENTINOS) Y DE CONFORMIDAD CON EL PROCEDIMIENTO PREVISTO EN EL ART. 3° DEL ANEXO I DEL DECRETO N° 695/24.</t>
  </si>
  <si>
    <t>RODAS: PROYECTO DE LEY DE TELEMEDICINA Y TELESALUD COMO PRESTACION DE SERVICIOS DE SALUD.</t>
  </si>
  <si>
    <t>PROYECTO DE LEY EN REVISION QUE ESTABLECE COMO HORA OFICIAL EN TODO EL TERRITORIO DEL PAIS LA DEL HUSO HORARIO DE CUATRO HORAS AL OESTE DEL MERIDIANO DE GREENWICH. DEROGACION DE LA LEY 26.350, DE HORA OFICIAL</t>
  </si>
  <si>
    <t>AUDITORIA GENERAL DE LA NACION: COMUNICA RESOLUCION N° 16/25 QUE APRUEBA EL INFORME DE AUDITORIA, EL INFORME EJECUTIVO Y LA FICHA DE PRENSA, EN EL AMBITO DEL EX MINISTERIO DE EDUCACION, CON EL OBJETO DE REALIZAR UNA AUDITORIA DE GESTION SOBRE EL PLAN NACIONAL 3000 JARDINES DE INFANTES, PARA EL PERIODO 2/06/16 AL 31/12/19.</t>
  </si>
  <si>
    <t>JEFATURA DE GABINETE: REMITE MENSAJE N° 28/25, QUE COMUNICA EL DICTADO DEL DECRETO DE FACULTADES DELEGADAS Nº 205/25, POR EL QUE TRANSFIEREN LOS BIENES PARA LA EXPLOTACION DEL ESTABLECIMIENTO MINERO CAPILLITAS DE FABRICACIONES MILITARES A CATAMARCA MINERA Y ENERGETICA SOCIEDAD DEL ESTADO (CAMYEN S.E.)</t>
  </si>
  <si>
    <t>03/04/2025</t>
  </si>
  <si>
    <t>LOPEZ Y OTROS: PROYECTO DE RESOLUCION QUE CREA UNA COMISION UNICAMERAL ESPECIAL DE SEGUIMIENTO, MONITOREO Y CONTROL DE LOS PROCEDIMIENTOS, CRITERIOS Y DECISIONES RELACIONADAS CON LA ENAJENACION DE INMUEBLES DE PROPIEDAD DEL ESTADO NACIONAL.</t>
  </si>
  <si>
    <t xml:space="preserve"> MAYANS, JOSÉ MIGUEL ÁNGEL - LÓPEZ, MARÍA FLORENCIA - REJAL, JESÚS FERNANDO - DI TULLIO, JULIANA - DURÉ, MARÍA EUGENIA - LEAVY, SERGIO NAPOLEÓN - DE PEDRO, EDUARDO ENRIQUE - PILATTI VERGARA, MARÍA INÉS - PARRILLI, OSCAR ISIDRO - SALINO, FERNANDO ALDO - CORPACCI, LUCÍA BENIGNA - LINARES, CARLOS ALBERTO -</t>
  </si>
  <si>
    <t>AUDITORIA GENERAL DE LA NACION: COMUNICA RESOLUCION Nº 15/25, QUE APRUEBA EL INFORME DE AUDITORIA DE SEGUIMIENTO DE LA RESOLUCION N° 172/2017-AGN REFERIDA A LA GESTION DE LOS PROCEDIMIENTOS ESTABLECIDOS PARA LA ADQUISICION POR PARTE DE EXTRANJEROS DE TIERRAS RURALES - PERIODO AUDITADO: 2017-2019.</t>
  </si>
  <si>
    <t>JEFATURA DE GABINETE: REMITE MENSAJE N° 27/25, QUE COMUNICA EL DICTADO DEL DECRETO DE FACULTADES DELEGADAS Nº 216/25, POR EL QUE SE DISUELVEN EL COMITÉ INTERMINISTERIAL DE FACILITACION TURISTICA Y EL PROGRAMA NACIONAL DE INVERSIONES TURISTICAS - MODIFICA LA LEY NACIONAL DE TURISMO Nº 25.997 Y SUS MODIFICATORIAS.</t>
  </si>
  <si>
    <t>SAPAG: REPRODUCE EL PROYECTO DE LEY DE FORTALECIMIENTO DE LA ACCESIBILIDAD WEB. (REF.S. 172/23).</t>
  </si>
  <si>
    <t>AUDITORIA GENERAL DE LA NACION: COMUNICA RESOLUCION Nº 14/25, QUE APRUEBA EL MEMORANDUM SOBRE LA EVALUACION DE CONTROL INTERNO CORRESPONDIENTE AL EJERCICIO FINALIZADO EL 31/12/2024 DEL BANCO DE INVERSION Y COMERCIO EXTERIOR S.A. (BICE S.A.) Y ADJUNTA SOBRE RESERVADO.</t>
  </si>
  <si>
    <t>JEFATURA DE GABINETE: REMITE MENSAJE N° 26/25, QUE COMUNICA EL DICTADO DEL DECRETO DE FACULTADES DELEGADAS Nº 207/25, QUE SUSTITUYE EL ARTICULO 2º DE LA LEY Nº 20.115 - FISCALIZACION PERMANENTE SOBRE LA SOCIEDAD GENERAL DE AUTORES DE LA ARGENTINA (ARGENTORES).</t>
  </si>
  <si>
    <t>SAPAG: REPRODUCE EL PROYECTO DE LEY QUE CREA EL REGIMEN DE DERECHOS DE PERSONAS TITULARES DE BECAS DE INVESTIGACION CIENTIFICA Y TECNOLOGICA DE LA REP. ARGENTINA. (REF.S. 173/23).</t>
  </si>
  <si>
    <t xml:space="preserve">AUDITORIA GENERAL DE LA NACION: COMUNICA RESOLUCION N° 13/25 QUE APRUEBA EL INFORME SOBRE LOS ESTADOS FINANCIEROS CONSOLIDADOS Y SEPARADOS DEL BANCO DE INVERSION Y COMERCIO EXTERIOR S.A. AL 31/12/24 - PERIODO AUDITADO DEL 01/01/24 AL 31/12/24.
</t>
  </si>
  <si>
    <t>JEFATURA DE GABINETE: REMITE EL INFORME ANUAL EJERCICIO 2024 - LEY DE NORMALIZACIÓN DE LA DEUDA PÚBLICA Y DE RECUPERACIÓN DEL CRÉDITO, ART. 3° DE LA LEY N° 27.249; ART. 42 DE LA LEY N° 27.701 (DTO. N° 88/2023) Y ART. 9° DEL DTO. N° 280/2024- SOBRE LOS AVANCES DE LAS TRATATIVAS Y LOS ACUERDOS CELEBRADOS CON LA FINALIDAD DE NORMALIZAR LOS SERVICIOS DE DEUDA PÚBLICA.</t>
  </si>
  <si>
    <t>SAPAG: REPRODUCE EL PROYECTO DE LEY SOBRE DNI DIGITAL. (REF.S. 174/23).</t>
  </si>
  <si>
    <t>JORGE ZATLOUKAL: FORMULA CONSIDERACIONES SOBRE EL PROCESO DE SELECCIÓN DEL DEFENSOR DEL PUEBLO DE LA NACION.</t>
  </si>
  <si>
    <t>19/03/2026</t>
  </si>
  <si>
    <t xml:space="preserve"> 27/10/2025 -</t>
  </si>
  <si>
    <t xml:space="preserve"> 28/10/2025 -</t>
  </si>
  <si>
    <t>28/10/2025</t>
  </si>
  <si>
    <t>JEFATURA DE GABINETE: REMITE MENSAJE N° 29/25 QUE COMUNICA EL DICTADO DEL DECRETO N° 198/25, QUE AUTORIZA EL PROCEDIMIENTO PARA LA PRIVATIZACIÓN TOTAL DE INTERCARGO S.A.U.</t>
  </si>
  <si>
    <t xml:space="preserve"> 20 24/04/2025 -</t>
  </si>
  <si>
    <t>31/03/2025</t>
  </si>
  <si>
    <t>SAPAG: REPRODUCE EL PROYECTO DE LEY DE HISTORIA CLINICA AMBIENTAL. (REF. S. 177/23).</t>
  </si>
  <si>
    <t xml:space="preserve"> 05/06/2025 -  -</t>
  </si>
  <si>
    <t xml:space="preserve"> 11/03/2025 - 04/03/2026 -</t>
  </si>
  <si>
    <t>ASOCIACION NACIONAL DE PASTORES BAUTISTAS: SOLICITA SE ASEGURE LA TRANSPARENCIA Y PLURALIDAD EN EL PROCESO DE SELECCIÓN DEL/A DEFENSOR/A NACIONAL DE LOS DERECHOS DE NIÑAS, NIÑOS Y ADOLESCENTES.</t>
  </si>
  <si>
    <t xml:space="preserve">BICAMERAL PERMANENTE DEL DEFENSOR DE LOS DERECHOS DE NIÑAS, NIÑOS Y ADOLESCENTES (LEY 26.061) </t>
  </si>
  <si>
    <t>23/10/2025</t>
  </si>
  <si>
    <t>JEFATURA DE GABINETE: REMITE MENSAJE Nº 25/25 QUE COMUNICA EL DICTADO DEL DECRETO DE NECESIDAD Y URGENCIA Nº 186/25, POR EL QUE MODIFICA EL PRESUPUESTO GENERAL DE LA ADMINISTRACIÓN NACIONAL PARA EL EJERCICIO 2025.</t>
  </si>
  <si>
    <t>26/03/2025</t>
  </si>
  <si>
    <t>SAPAG: REPRODUCE EL PROYECTO DE LEY DE FORTALECIMIENTO DE LA SOBERANIA NACIONAL. (REF. S. 190/23).</t>
  </si>
  <si>
    <t>SAPAG: REPRODUCE EL PROYECTO DE LEY DE RED NACIONAL DE LECHE HUMANA (RNLH). (REF. S. 398/23).</t>
  </si>
  <si>
    <t>SAPAG: REPRODUCE EL PROYECTO DE LEY SOBRE REGULACION DE LA COMERCIALIZACION DE SUCEDANEOS DE LA LECHE HUMANA. (REF. S. 1677/23).</t>
  </si>
  <si>
    <t>JEFATURA DE GABINETE: REMITE MENSAJE N° 23/25, QUE COMUNICA EL DICTADO DEL DECRETO DE FACULTADES DELEGADAS Nº 144/25, QUE DISUELVE EL FONDO FIDUCIARIO PÚBLICO DENOMINADO "FONDO DE INFRAESTRUCTURA DE SEGURIDAD AEROPORTUARIA".</t>
  </si>
  <si>
    <t>SAPAG: REPRODUCE EL PROYECTO DE LEY DE UTILIZACION DE MEDICAMENTOS POR SU NOMBRE GENERICO (REF. S. 1678/23).</t>
  </si>
  <si>
    <t>SAPAG: REPRODUCE EL PROYECTO DE LEY SOBRE COMISIONES DE TARJETAS DE CREDITO Y DEBITO (REF. S. 1679/23).</t>
  </si>
  <si>
    <t>JEFATURA DE GABINETE: REMITE MENSAJE N° 22/25, QUE COMUNICA EL DICTADO DEL DECRETO DE FACULTADES DELEGADAS Nº 116/25, QUE TRANSFORMA BANCO DE LA NACION ARGENTINA EN BANCO DE LA NACION ARGENTINA SOCIEDAD ANONIMA (BNA S.A.)</t>
  </si>
  <si>
    <t>06/03/2025</t>
  </si>
  <si>
    <t>SAPAG: REPRODUCE EL PROYECTO DE LEY DE AMPLIACION DE OFERTA DE VIVIENDAS DE ALQUILER (REF. S. 1863/23).</t>
  </si>
  <si>
    <t xml:space="preserve">PROYECTO DE LEY EN REVISION QUE DECLARA ZONA DE EMERGENCIA Y EN SITUACIÓN DE CATÁSTROFE, POR EL TÉRMINO DE CIENTO OCHENTA (180) DÍAS, A LAS PROVINCIAS DE BUENOS AIRES Y SANTA FE. 
</t>
  </si>
  <si>
    <t>JEFATURA DE GABINETE: REMITE MENSAJE N° 21/25, QUE COMUNICA EL DICTADO DEL DECRETO DE FACULTADES DELEGADAS Nº 115/25, QUE TRANSFORMA A YCRT EN LA SOCIEDAD CARBOELECTRICA RIO TURBIO S.A.</t>
  </si>
  <si>
    <t>SAPAG: REPRODUCE EL PROYECTO DE LEY QUE REGULA LAS COMISIONES DE LAS BILLETERAS VIRTUALES (REF. S. 2098/23).</t>
  </si>
  <si>
    <t>JEFATURA DE GABINETE: REMITE MENSAJE N° 19/25, QUE COMUNICA EL DICTADO DEL DECRETO DE FACULTADES DELEGADAS Nº 117/25, QUE TRANSFORMA CONSTRUCCION DE VIVIENDA PARA LA ARMADA (COVIARA) EN CONTRUCCION DE VIVIENDA PARA LA ARMADA SOCIEDAD ANONIMA UNIPERSONAL (COVIARA SAU)</t>
  </si>
  <si>
    <t>SAPAG: PROYECTO DE LEY SOBRE FORTALECIMIENTO DEL INSTITUTO NACIONAL DE ESTADISTICAS Y CENSOS (INDEC).</t>
  </si>
  <si>
    <t>PROYECTO DE LEY EN REVISION QUE DECLARA LA EMERGENCIA AMBIENTAL, ECONOMICA Y HABITACIONAL, POR EL TERMINO DE NOVENTA (90) DIAS, PRORROGABLES POR IGUAL PLAZO EN LA CDAD. DE BAHIA BLANCA, PROV. DE BUENOS AIRES Y A TODA LA REGION AFECTADA, POR EL TEMPORAL OCURRIDO EL 7 DE MARZO DE 2025.</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</si>
</sst>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rgb="FF000000"/>
      <name val="Calibri"/>
      <scheme val="minor"/>
    </font>
    <font>
      <b/>
      <sz val="11.0"/>
      <color rgb="FF000000"/>
      <name val="Calibri"/>
    </font>
    <font>
      <color theme="1"/>
      <name val="Calibri"/>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Font="1"/>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5.57"/>
    <col customWidth="1" min="3" max="4" width="5.14"/>
    <col customWidth="1" min="5" max="26" width="40.0"/>
    <col customWidth="1" min="27" max="39" width="9.14"/>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c r="A2" s="2" t="s">
        <v>39</v>
      </c>
      <c r="B2" s="3" t="str">
        <f>HYPERLINK("https://www.senado.gob.ar/parlamentario/comisiones/verExp/2203.25/S/CO","2203")</f>
        <v>2203</v>
      </c>
      <c r="C2" s="3" t="str">
        <f>HYPERLINK("https://www.senado.gob.ar/parlamentario/comisiones/verExp/2203.25/S/CO","2025")</f>
        <v>2025</v>
      </c>
      <c r="D2" s="2" t="s">
        <v>40</v>
      </c>
      <c r="E2" s="2" t="s">
        <v>41</v>
      </c>
      <c r="F2" s="2" t="s">
        <v>42</v>
      </c>
      <c r="I2" s="2" t="s">
        <v>43</v>
      </c>
      <c r="K2" s="2" t="s">
        <v>44</v>
      </c>
      <c r="L2" s="2" t="s">
        <v>45</v>
      </c>
      <c r="N2" s="2" t="s">
        <v>46</v>
      </c>
      <c r="O2" s="2">
        <v>50.0</v>
      </c>
      <c r="P2" s="2" t="s">
        <v>47</v>
      </c>
      <c r="Q2" s="2" t="s">
        <v>48</v>
      </c>
      <c r="AI2" s="2" t="str">
        <f t="shared" ref="AI2:AI254" si="1">HYPERLINK("","")</f>
        <v/>
      </c>
      <c r="AJ2" s="2" t="s">
        <v>49</v>
      </c>
      <c r="AK2" s="2" t="s">
        <v>50</v>
      </c>
    </row>
    <row r="3">
      <c r="A3" s="2" t="s">
        <v>39</v>
      </c>
      <c r="B3" s="3" t="str">
        <f>HYPERLINK("https://www.senado.gob.ar/parlamentario/comisiones/verExp/2202.25/S/CO","2202")</f>
        <v>2202</v>
      </c>
      <c r="C3" s="3" t="str">
        <f>HYPERLINK("https://www.senado.gob.ar/parlamentario/comisiones/verExp/2202.25/S/CO","2025")</f>
        <v>2025</v>
      </c>
      <c r="D3" s="2" t="s">
        <v>40</v>
      </c>
      <c r="E3" s="2" t="s">
        <v>51</v>
      </c>
      <c r="F3" s="2" t="s">
        <v>42</v>
      </c>
      <c r="I3" s="2" t="s">
        <v>43</v>
      </c>
      <c r="K3" s="2" t="s">
        <v>44</v>
      </c>
      <c r="L3" s="2" t="s">
        <v>45</v>
      </c>
      <c r="N3" s="2" t="s">
        <v>52</v>
      </c>
      <c r="O3" s="2">
        <v>50.0</v>
      </c>
      <c r="P3" s="2" t="s">
        <v>47</v>
      </c>
      <c r="Q3" s="2" t="s">
        <v>48</v>
      </c>
      <c r="AI3" s="2" t="str">
        <f t="shared" si="1"/>
        <v/>
      </c>
      <c r="AJ3" s="2" t="s">
        <v>49</v>
      </c>
      <c r="AK3" s="2" t="s">
        <v>50</v>
      </c>
    </row>
    <row r="4">
      <c r="A4" s="2" t="s">
        <v>39</v>
      </c>
      <c r="B4" s="3" t="str">
        <f>HYPERLINK("https://www.senado.gob.ar/parlamentario/comisiones/verExp/2200.25/S/CO","2200")</f>
        <v>2200</v>
      </c>
      <c r="C4" s="3" t="str">
        <f>HYPERLINK("https://www.senado.gob.ar/parlamentario/comisiones/verExp/2200.25/S/CO","2025")</f>
        <v>2025</v>
      </c>
      <c r="D4" s="2" t="s">
        <v>40</v>
      </c>
      <c r="E4" s="2" t="s">
        <v>41</v>
      </c>
      <c r="F4" s="2" t="s">
        <v>53</v>
      </c>
      <c r="I4" s="2" t="s">
        <v>54</v>
      </c>
      <c r="K4" s="2" t="s">
        <v>44</v>
      </c>
      <c r="L4" s="2" t="s">
        <v>54</v>
      </c>
      <c r="N4" s="2" t="s">
        <v>46</v>
      </c>
      <c r="O4" s="2">
        <v>50.0</v>
      </c>
      <c r="P4" s="2" t="s">
        <v>47</v>
      </c>
      <c r="Q4" s="2" t="s">
        <v>55</v>
      </c>
      <c r="AI4" s="2" t="str">
        <f t="shared" si="1"/>
        <v/>
      </c>
      <c r="AJ4" s="2" t="s">
        <v>49</v>
      </c>
      <c r="AK4" s="2" t="s">
        <v>50</v>
      </c>
    </row>
    <row r="5">
      <c r="A5" s="2" t="s">
        <v>39</v>
      </c>
      <c r="B5" s="3" t="str">
        <f>HYPERLINK("https://www.senado.gob.ar/parlamentario/comisiones/verExp/2199.25/S/PL","2199")</f>
        <v>2199</v>
      </c>
      <c r="C5" s="3" t="str">
        <f>HYPERLINK("https://www.senado.gob.ar/parlamentario/comisiones/verExp/2199.25/S/PL","2025")</f>
        <v>2025</v>
      </c>
      <c r="D5" s="2" t="s">
        <v>56</v>
      </c>
      <c r="E5" s="2" t="s">
        <v>57</v>
      </c>
      <c r="F5" s="2" t="s">
        <v>58</v>
      </c>
      <c r="I5" s="2" t="s">
        <v>59</v>
      </c>
      <c r="K5" s="2" t="s">
        <v>44</v>
      </c>
      <c r="L5" s="2" t="s">
        <v>60</v>
      </c>
      <c r="N5" s="2" t="s">
        <v>61</v>
      </c>
      <c r="O5" s="2">
        <v>51.0</v>
      </c>
      <c r="P5" s="2" t="s">
        <v>62</v>
      </c>
      <c r="Q5" s="2" t="s">
        <v>63</v>
      </c>
      <c r="S5" s="2">
        <v>60.0</v>
      </c>
      <c r="T5" s="2" t="s">
        <v>64</v>
      </c>
      <c r="U5" s="2" t="s">
        <v>63</v>
      </c>
      <c r="W5" s="2">
        <v>54.0</v>
      </c>
      <c r="X5" s="2" t="s">
        <v>65</v>
      </c>
      <c r="Y5" s="2" t="s">
        <v>63</v>
      </c>
      <c r="AI5" s="2" t="str">
        <f t="shared" si="1"/>
        <v/>
      </c>
      <c r="AJ5" s="2" t="s">
        <v>49</v>
      </c>
      <c r="AK5" s="2" t="s">
        <v>50</v>
      </c>
    </row>
    <row r="6">
      <c r="A6" s="2" t="s">
        <v>39</v>
      </c>
      <c r="B6" s="3" t="str">
        <f>HYPERLINK("https://www.senado.gob.ar/parlamentario/comisiones/verExp/2198.25/S/PL","2198")</f>
        <v>2198</v>
      </c>
      <c r="C6" s="3" t="str">
        <f>HYPERLINK("https://www.senado.gob.ar/parlamentario/comisiones/verExp/2198.25/S/PL","2025")</f>
        <v>2025</v>
      </c>
      <c r="D6" s="2" t="s">
        <v>56</v>
      </c>
      <c r="E6" s="2" t="s">
        <v>66</v>
      </c>
      <c r="F6" s="2" t="s">
        <v>58</v>
      </c>
      <c r="I6" s="2" t="s">
        <v>59</v>
      </c>
      <c r="K6" s="2" t="s">
        <v>44</v>
      </c>
      <c r="L6" s="2" t="s">
        <v>60</v>
      </c>
      <c r="N6" s="2" t="s">
        <v>67</v>
      </c>
      <c r="O6" s="2">
        <v>51.0</v>
      </c>
      <c r="P6" s="2" t="s">
        <v>62</v>
      </c>
      <c r="Q6" s="2" t="s">
        <v>63</v>
      </c>
      <c r="S6" s="2">
        <v>60.0</v>
      </c>
      <c r="T6" s="2" t="s">
        <v>64</v>
      </c>
      <c r="U6" s="2" t="s">
        <v>63</v>
      </c>
      <c r="W6" s="2">
        <v>54.0</v>
      </c>
      <c r="X6" s="2" t="s">
        <v>65</v>
      </c>
      <c r="Y6" s="2" t="s">
        <v>63</v>
      </c>
      <c r="AI6" s="2" t="str">
        <f t="shared" si="1"/>
        <v/>
      </c>
      <c r="AJ6" s="2" t="s">
        <v>49</v>
      </c>
      <c r="AK6" s="2" t="s">
        <v>50</v>
      </c>
    </row>
    <row r="7">
      <c r="A7" s="2" t="s">
        <v>39</v>
      </c>
      <c r="B7" s="3" t="str">
        <f>HYPERLINK("https://www.senado.gob.ar/parlamentario/comisiones/verExp/2197.25/S/PL","2197")</f>
        <v>2197</v>
      </c>
      <c r="C7" s="3" t="str">
        <f>HYPERLINK("https://www.senado.gob.ar/parlamentario/comisiones/verExp/2197.25/S/PL","2025")</f>
        <v>2025</v>
      </c>
      <c r="D7" s="2" t="s">
        <v>56</v>
      </c>
      <c r="E7" s="2" t="s">
        <v>68</v>
      </c>
      <c r="F7" s="2" t="s">
        <v>58</v>
      </c>
      <c r="I7" s="2" t="s">
        <v>59</v>
      </c>
      <c r="K7" s="2" t="s">
        <v>44</v>
      </c>
      <c r="L7" s="2" t="s">
        <v>60</v>
      </c>
      <c r="N7" s="2" t="s">
        <v>69</v>
      </c>
      <c r="O7" s="2">
        <v>77.0</v>
      </c>
      <c r="P7" s="2" t="s">
        <v>70</v>
      </c>
      <c r="Q7" s="2" t="s">
        <v>63</v>
      </c>
      <c r="S7" s="2">
        <v>75.0</v>
      </c>
      <c r="T7" s="2" t="s">
        <v>71</v>
      </c>
      <c r="U7" s="2" t="s">
        <v>63</v>
      </c>
      <c r="W7" s="2">
        <v>54.0</v>
      </c>
      <c r="X7" s="2" t="s">
        <v>65</v>
      </c>
      <c r="Y7" s="2" t="s">
        <v>63</v>
      </c>
      <c r="AI7" s="2" t="str">
        <f t="shared" si="1"/>
        <v/>
      </c>
      <c r="AJ7" s="2" t="s">
        <v>49</v>
      </c>
      <c r="AK7" s="2" t="s">
        <v>50</v>
      </c>
    </row>
    <row r="8">
      <c r="A8" s="2" t="s">
        <v>39</v>
      </c>
      <c r="B8" s="3" t="str">
        <f>HYPERLINK("https://www.senado.gob.ar/parlamentario/comisiones/verExp/2196.25/S/PL","2196")</f>
        <v>2196</v>
      </c>
      <c r="C8" s="3" t="str">
        <f>HYPERLINK("https://www.senado.gob.ar/parlamentario/comisiones/verExp/2196.25/S/PL","2025")</f>
        <v>2025</v>
      </c>
      <c r="D8" s="2" t="s">
        <v>56</v>
      </c>
      <c r="E8" s="2" t="s">
        <v>72</v>
      </c>
      <c r="F8" s="2" t="s">
        <v>58</v>
      </c>
      <c r="I8" s="2" t="s">
        <v>59</v>
      </c>
      <c r="K8" s="2" t="s">
        <v>44</v>
      </c>
      <c r="L8" s="2" t="s">
        <v>60</v>
      </c>
      <c r="N8" s="2" t="s">
        <v>69</v>
      </c>
      <c r="O8" s="2">
        <v>75.0</v>
      </c>
      <c r="P8" s="2" t="s">
        <v>71</v>
      </c>
      <c r="Q8" s="2" t="s">
        <v>63</v>
      </c>
      <c r="S8" s="2">
        <v>78.0</v>
      </c>
      <c r="T8" s="2" t="s">
        <v>73</v>
      </c>
      <c r="U8" s="2" t="s">
        <v>63</v>
      </c>
      <c r="W8" s="2">
        <v>54.0</v>
      </c>
      <c r="X8" s="2" t="s">
        <v>65</v>
      </c>
      <c r="Y8" s="2" t="s">
        <v>63</v>
      </c>
      <c r="AI8" s="2" t="str">
        <f t="shared" si="1"/>
        <v/>
      </c>
      <c r="AJ8" s="2" t="s">
        <v>49</v>
      </c>
      <c r="AK8" s="2" t="s">
        <v>50</v>
      </c>
    </row>
    <row r="9">
      <c r="A9" s="2" t="s">
        <v>39</v>
      </c>
      <c r="B9" s="3" t="str">
        <f>HYPERLINK("https://www.senado.gob.ar/parlamentario/comisiones/verExp/2194.25/S/PL","2194")</f>
        <v>2194</v>
      </c>
      <c r="C9" s="3" t="str">
        <f>HYPERLINK("https://www.senado.gob.ar/parlamentario/comisiones/verExp/2194.25/S/PL","2025")</f>
        <v>2025</v>
      </c>
      <c r="D9" s="2" t="s">
        <v>56</v>
      </c>
      <c r="E9" s="2" t="s">
        <v>74</v>
      </c>
      <c r="F9" s="2" t="s">
        <v>58</v>
      </c>
      <c r="I9" s="2" t="s">
        <v>59</v>
      </c>
      <c r="K9" s="2" t="s">
        <v>44</v>
      </c>
      <c r="L9" s="2" t="s">
        <v>60</v>
      </c>
      <c r="N9" s="2" t="s">
        <v>75</v>
      </c>
      <c r="O9" s="2">
        <v>53.0</v>
      </c>
      <c r="P9" s="2" t="s">
        <v>76</v>
      </c>
      <c r="Q9" s="2" t="s">
        <v>63</v>
      </c>
      <c r="AI9" s="2" t="str">
        <f t="shared" si="1"/>
        <v/>
      </c>
      <c r="AJ9" s="2" t="s">
        <v>49</v>
      </c>
      <c r="AK9" s="2" t="s">
        <v>50</v>
      </c>
    </row>
    <row r="10">
      <c r="A10" s="2" t="s">
        <v>39</v>
      </c>
      <c r="B10" s="3" t="str">
        <f>HYPERLINK("https://www.senado.gob.ar/parlamentario/comisiones/verExp/2193.25/S/PL","2193")</f>
        <v>2193</v>
      </c>
      <c r="C10" s="3" t="str">
        <f>HYPERLINK("https://www.senado.gob.ar/parlamentario/comisiones/verExp/2193.25/S/PL","2025")</f>
        <v>2025</v>
      </c>
      <c r="D10" s="2" t="s">
        <v>56</v>
      </c>
      <c r="E10" s="2" t="s">
        <v>77</v>
      </c>
      <c r="F10" s="2" t="s">
        <v>58</v>
      </c>
      <c r="I10" s="2" t="s">
        <v>59</v>
      </c>
      <c r="K10" s="2" t="s">
        <v>44</v>
      </c>
      <c r="L10" s="2" t="s">
        <v>60</v>
      </c>
      <c r="N10" s="2" t="s">
        <v>75</v>
      </c>
      <c r="O10" s="2">
        <v>78.0</v>
      </c>
      <c r="P10" s="2" t="s">
        <v>73</v>
      </c>
      <c r="Q10" s="2" t="s">
        <v>63</v>
      </c>
      <c r="S10" s="2">
        <v>52.0</v>
      </c>
      <c r="T10" s="2" t="s">
        <v>78</v>
      </c>
      <c r="U10" s="2" t="s">
        <v>63</v>
      </c>
      <c r="AI10" s="2" t="str">
        <f t="shared" si="1"/>
        <v/>
      </c>
      <c r="AJ10" s="2" t="s">
        <v>49</v>
      </c>
      <c r="AK10" s="2" t="s">
        <v>50</v>
      </c>
    </row>
    <row r="11">
      <c r="A11" s="2" t="s">
        <v>39</v>
      </c>
      <c r="B11" s="3" t="str">
        <f>HYPERLINK("https://www.senado.gob.ar/parlamentario/comisiones/verExp/2171.25/S/PL","2171")</f>
        <v>2171</v>
      </c>
      <c r="C11" s="3" t="str">
        <f>HYPERLINK("https://www.senado.gob.ar/parlamentario/comisiones/verExp/2171.25/S/PL","2025")</f>
        <v>2025</v>
      </c>
      <c r="D11" s="2" t="s">
        <v>56</v>
      </c>
      <c r="E11" s="2" t="s">
        <v>79</v>
      </c>
      <c r="F11" s="2" t="s">
        <v>80</v>
      </c>
      <c r="I11" s="2" t="s">
        <v>81</v>
      </c>
      <c r="K11" s="2" t="s">
        <v>44</v>
      </c>
      <c r="L11" s="2" t="s">
        <v>82</v>
      </c>
      <c r="N11" s="2" t="s">
        <v>83</v>
      </c>
      <c r="O11" s="2">
        <v>67.0</v>
      </c>
      <c r="P11" s="2" t="s">
        <v>84</v>
      </c>
      <c r="Q11" s="2" t="s">
        <v>85</v>
      </c>
      <c r="S11" s="2">
        <v>54.0</v>
      </c>
      <c r="T11" s="2" t="s">
        <v>65</v>
      </c>
      <c r="U11" s="2" t="s">
        <v>85</v>
      </c>
      <c r="AI11" s="2" t="str">
        <f t="shared" si="1"/>
        <v/>
      </c>
      <c r="AJ11" s="2" t="s">
        <v>49</v>
      </c>
      <c r="AK11" s="2" t="s">
        <v>50</v>
      </c>
    </row>
    <row r="12">
      <c r="A12" s="2" t="s">
        <v>39</v>
      </c>
      <c r="B12" s="3" t="str">
        <f>HYPERLINK("https://www.senado.gob.ar/parlamentario/comisiones/verExp/2170.25/S/CO","2170")</f>
        <v>2170</v>
      </c>
      <c r="C12" s="3" t="str">
        <f>HYPERLINK("https://www.senado.gob.ar/parlamentario/comisiones/verExp/2170.25/S/CO","2025")</f>
        <v>2025</v>
      </c>
      <c r="D12" s="2" t="s">
        <v>40</v>
      </c>
      <c r="E12" s="2" t="s">
        <v>86</v>
      </c>
      <c r="F12" s="2" t="s">
        <v>87</v>
      </c>
      <c r="I12" s="2" t="s">
        <v>81</v>
      </c>
      <c r="K12" s="2" t="s">
        <v>44</v>
      </c>
      <c r="L12" s="2" t="s">
        <v>81</v>
      </c>
      <c r="N12" s="2" t="s">
        <v>88</v>
      </c>
      <c r="O12" s="2">
        <v>50.0</v>
      </c>
      <c r="P12" s="2" t="s">
        <v>47</v>
      </c>
      <c r="Q12" s="2" t="s">
        <v>89</v>
      </c>
      <c r="AI12" s="2" t="str">
        <f t="shared" si="1"/>
        <v/>
      </c>
      <c r="AJ12" s="2" t="s">
        <v>49</v>
      </c>
      <c r="AK12" s="2" t="s">
        <v>50</v>
      </c>
    </row>
    <row r="13">
      <c r="A13" s="2" t="s">
        <v>39</v>
      </c>
      <c r="B13" s="3" t="str">
        <f>HYPERLINK("https://www.senado.gob.ar/parlamentario/comisiones/verExp/2169.25/S/CO","2169")</f>
        <v>2169</v>
      </c>
      <c r="C13" s="3" t="str">
        <f>HYPERLINK("https://www.senado.gob.ar/parlamentario/comisiones/verExp/2169.25/S/CO","2025")</f>
        <v>2025</v>
      </c>
      <c r="D13" s="2" t="s">
        <v>40</v>
      </c>
      <c r="E13" s="2" t="s">
        <v>90</v>
      </c>
      <c r="F13" s="2" t="s">
        <v>87</v>
      </c>
      <c r="I13" s="2" t="s">
        <v>81</v>
      </c>
      <c r="K13" s="2" t="s">
        <v>44</v>
      </c>
      <c r="L13" s="2" t="s">
        <v>81</v>
      </c>
      <c r="N13" s="2" t="s">
        <v>91</v>
      </c>
      <c r="O13" s="2">
        <v>50.0</v>
      </c>
      <c r="P13" s="2" t="s">
        <v>47</v>
      </c>
      <c r="Q13" s="2" t="s">
        <v>89</v>
      </c>
      <c r="AI13" s="2" t="str">
        <f t="shared" si="1"/>
        <v/>
      </c>
      <c r="AJ13" s="2" t="s">
        <v>49</v>
      </c>
      <c r="AK13" s="2" t="s">
        <v>50</v>
      </c>
    </row>
    <row r="14">
      <c r="A14" s="2" t="s">
        <v>39</v>
      </c>
      <c r="B14" s="3" t="str">
        <f>HYPERLINK("https://www.senado.gob.ar/parlamentario/comisiones/verExp/2168.25/S/CO","2168")</f>
        <v>2168</v>
      </c>
      <c r="C14" s="3" t="str">
        <f>HYPERLINK("https://www.senado.gob.ar/parlamentario/comisiones/verExp/2168.25/S/CO","2025")</f>
        <v>2025</v>
      </c>
      <c r="D14" s="2" t="s">
        <v>40</v>
      </c>
      <c r="E14" s="2" t="s">
        <v>92</v>
      </c>
      <c r="F14" s="2" t="s">
        <v>87</v>
      </c>
      <c r="I14" s="2" t="s">
        <v>81</v>
      </c>
      <c r="K14" s="2" t="s">
        <v>44</v>
      </c>
      <c r="L14" s="2" t="s">
        <v>81</v>
      </c>
      <c r="N14" s="2" t="s">
        <v>93</v>
      </c>
      <c r="O14" s="2">
        <v>50.0</v>
      </c>
      <c r="P14" s="2" t="s">
        <v>47</v>
      </c>
      <c r="Q14" s="2" t="s">
        <v>89</v>
      </c>
      <c r="AI14" s="2" t="str">
        <f t="shared" si="1"/>
        <v/>
      </c>
      <c r="AJ14" s="2" t="s">
        <v>49</v>
      </c>
      <c r="AK14" s="2" t="s">
        <v>50</v>
      </c>
    </row>
    <row r="15">
      <c r="A15" s="2" t="s">
        <v>39</v>
      </c>
      <c r="B15" s="3" t="str">
        <f>HYPERLINK("https://www.senado.gob.ar/parlamentario/comisiones/verExp/2167.25/S/CO","2167")</f>
        <v>2167</v>
      </c>
      <c r="C15" s="3" t="str">
        <f>HYPERLINK("https://www.senado.gob.ar/parlamentario/comisiones/verExp/2167.25/S/CO","2025")</f>
        <v>2025</v>
      </c>
      <c r="D15" s="2" t="s">
        <v>40</v>
      </c>
      <c r="E15" s="2" t="s">
        <v>41</v>
      </c>
      <c r="F15" s="2" t="s">
        <v>94</v>
      </c>
      <c r="I15" s="2" t="s">
        <v>95</v>
      </c>
      <c r="K15" s="2" t="s">
        <v>44</v>
      </c>
      <c r="L15" s="2" t="s">
        <v>95</v>
      </c>
      <c r="N15" s="2" t="s">
        <v>46</v>
      </c>
      <c r="O15" s="2">
        <v>50.0</v>
      </c>
      <c r="P15" s="2" t="s">
        <v>47</v>
      </c>
      <c r="Q15" s="2" t="s">
        <v>89</v>
      </c>
      <c r="AI15" s="2" t="str">
        <f t="shared" si="1"/>
        <v/>
      </c>
      <c r="AJ15" s="2" t="s">
        <v>49</v>
      </c>
      <c r="AK15" s="2" t="s">
        <v>50</v>
      </c>
    </row>
    <row r="16">
      <c r="A16" s="2" t="s">
        <v>39</v>
      </c>
      <c r="B16" s="3" t="str">
        <f>HYPERLINK("https://www.senado.gob.ar/parlamentario/comisiones/verExp/2166.25/S/CO","2166")</f>
        <v>2166</v>
      </c>
      <c r="C16" s="3" t="str">
        <f>HYPERLINK("https://www.senado.gob.ar/parlamentario/comisiones/verExp/2166.25/S/CO","2025")</f>
        <v>2025</v>
      </c>
      <c r="D16" s="2" t="s">
        <v>40</v>
      </c>
      <c r="E16" s="2" t="s">
        <v>96</v>
      </c>
      <c r="F16" s="2" t="s">
        <v>94</v>
      </c>
      <c r="I16" s="2" t="s">
        <v>95</v>
      </c>
      <c r="K16" s="2" t="s">
        <v>44</v>
      </c>
      <c r="L16" s="2" t="s">
        <v>95</v>
      </c>
      <c r="N16" s="2" t="s">
        <v>97</v>
      </c>
      <c r="O16" s="2">
        <v>50.0</v>
      </c>
      <c r="P16" s="2" t="s">
        <v>47</v>
      </c>
      <c r="Q16" s="2" t="s">
        <v>89</v>
      </c>
      <c r="AI16" s="2" t="str">
        <f t="shared" si="1"/>
        <v/>
      </c>
      <c r="AJ16" s="2" t="s">
        <v>49</v>
      </c>
      <c r="AK16" s="2" t="s">
        <v>50</v>
      </c>
    </row>
    <row r="17">
      <c r="A17" s="2" t="s">
        <v>39</v>
      </c>
      <c r="B17" s="3" t="str">
        <f>HYPERLINK("https://www.senado.gob.ar/parlamentario/comisiones/verExp/2165.25/S/PL","2165")</f>
        <v>2165</v>
      </c>
      <c r="C17" s="3" t="str">
        <f>HYPERLINK("https://www.senado.gob.ar/parlamentario/comisiones/verExp/2165.25/S/PL","2025")</f>
        <v>2025</v>
      </c>
      <c r="D17" s="2" t="s">
        <v>56</v>
      </c>
      <c r="E17" s="2" t="s">
        <v>98</v>
      </c>
      <c r="F17" s="2" t="s">
        <v>80</v>
      </c>
      <c r="I17" s="2" t="s">
        <v>95</v>
      </c>
      <c r="K17" s="2" t="s">
        <v>44</v>
      </c>
      <c r="L17" s="2" t="s">
        <v>82</v>
      </c>
      <c r="N17" s="2" t="s">
        <v>99</v>
      </c>
      <c r="O17" s="2">
        <v>67.0</v>
      </c>
      <c r="P17" s="2" t="s">
        <v>84</v>
      </c>
      <c r="Q17" s="2" t="s">
        <v>85</v>
      </c>
      <c r="S17" s="2">
        <v>54.0</v>
      </c>
      <c r="T17" s="2" t="s">
        <v>65</v>
      </c>
      <c r="U17" s="2" t="s">
        <v>85</v>
      </c>
      <c r="AI17" s="2" t="str">
        <f t="shared" si="1"/>
        <v/>
      </c>
      <c r="AJ17" s="2" t="s">
        <v>49</v>
      </c>
      <c r="AK17" s="2" t="s">
        <v>50</v>
      </c>
    </row>
    <row r="18">
      <c r="A18" s="2" t="s">
        <v>39</v>
      </c>
      <c r="B18" s="3" t="str">
        <f>HYPERLINK("https://www.senado.gob.ar/parlamentario/comisiones/verExp/2156.25/S/PL","2156")</f>
        <v>2156</v>
      </c>
      <c r="C18" s="3" t="str">
        <f>HYPERLINK("https://www.senado.gob.ar/parlamentario/comisiones/verExp/2156.25/S/PL","2025")</f>
        <v>2025</v>
      </c>
      <c r="D18" s="2" t="s">
        <v>56</v>
      </c>
      <c r="E18" s="2" t="s">
        <v>100</v>
      </c>
      <c r="F18" s="2" t="s">
        <v>101</v>
      </c>
      <c r="I18" s="2" t="s">
        <v>102</v>
      </c>
      <c r="K18" s="2" t="s">
        <v>44</v>
      </c>
      <c r="L18" s="2" t="s">
        <v>82</v>
      </c>
      <c r="N18" s="2" t="s">
        <v>103</v>
      </c>
      <c r="O18" s="2">
        <v>61.0</v>
      </c>
      <c r="P18" s="2" t="s">
        <v>104</v>
      </c>
      <c r="Q18" s="2" t="s">
        <v>85</v>
      </c>
      <c r="S18" s="2">
        <v>54.0</v>
      </c>
      <c r="T18" s="2" t="s">
        <v>65</v>
      </c>
      <c r="U18" s="2" t="s">
        <v>85</v>
      </c>
      <c r="AI18" s="2" t="str">
        <f t="shared" si="1"/>
        <v/>
      </c>
      <c r="AJ18" s="2" t="s">
        <v>49</v>
      </c>
      <c r="AK18" s="2" t="s">
        <v>50</v>
      </c>
    </row>
    <row r="19">
      <c r="A19" s="2" t="s">
        <v>39</v>
      </c>
      <c r="B19" s="3" t="str">
        <f>HYPERLINK("https://www.senado.gob.ar/parlamentario/comisiones/verExp/2146.25/S/PL","2146")</f>
        <v>2146</v>
      </c>
      <c r="C19" s="3" t="str">
        <f>HYPERLINK("https://www.senado.gob.ar/parlamentario/comisiones/verExp/2146.25/S/PL","2025")</f>
        <v>2025</v>
      </c>
      <c r="D19" s="2" t="s">
        <v>56</v>
      </c>
      <c r="E19" s="2" t="s">
        <v>105</v>
      </c>
      <c r="F19" s="2" t="s">
        <v>101</v>
      </c>
      <c r="I19" s="2" t="s">
        <v>106</v>
      </c>
      <c r="K19" s="2" t="s">
        <v>44</v>
      </c>
      <c r="L19" s="2" t="s">
        <v>102</v>
      </c>
      <c r="N19" s="2" t="s">
        <v>107</v>
      </c>
      <c r="O19" s="2">
        <v>67.0</v>
      </c>
      <c r="P19" s="2" t="s">
        <v>84</v>
      </c>
      <c r="Q19" s="2" t="s">
        <v>108</v>
      </c>
      <c r="S19" s="2">
        <v>54.0</v>
      </c>
      <c r="T19" s="2" t="s">
        <v>65</v>
      </c>
      <c r="U19" s="2" t="s">
        <v>108</v>
      </c>
      <c r="AI19" s="2" t="str">
        <f t="shared" si="1"/>
        <v/>
      </c>
      <c r="AJ19" s="2" t="s">
        <v>49</v>
      </c>
      <c r="AK19" s="2" t="s">
        <v>50</v>
      </c>
    </row>
    <row r="20">
      <c r="A20" s="2" t="s">
        <v>39</v>
      </c>
      <c r="B20" s="3" t="str">
        <f>HYPERLINK("https://www.senado.gob.ar/parlamentario/comisiones/verExp/2144.25/S/PL","2144")</f>
        <v>2144</v>
      </c>
      <c r="C20" s="3" t="str">
        <f>HYPERLINK("https://www.senado.gob.ar/parlamentario/comisiones/verExp/2144.25/S/PL","2025")</f>
        <v>2025</v>
      </c>
      <c r="D20" s="2" t="s">
        <v>56</v>
      </c>
      <c r="E20" s="2" t="s">
        <v>109</v>
      </c>
      <c r="F20" s="2" t="s">
        <v>101</v>
      </c>
      <c r="I20" s="2" t="s">
        <v>106</v>
      </c>
      <c r="K20" s="2" t="s">
        <v>44</v>
      </c>
      <c r="L20" s="2" t="s">
        <v>102</v>
      </c>
      <c r="N20" s="2" t="s">
        <v>110</v>
      </c>
      <c r="O20" s="2">
        <v>54.0</v>
      </c>
      <c r="P20" s="2" t="s">
        <v>65</v>
      </c>
      <c r="Q20" s="2" t="s">
        <v>108</v>
      </c>
      <c r="AI20" s="2" t="str">
        <f t="shared" si="1"/>
        <v/>
      </c>
      <c r="AJ20" s="2" t="s">
        <v>49</v>
      </c>
      <c r="AK20" s="2" t="s">
        <v>50</v>
      </c>
    </row>
    <row r="21" ht="15.75" customHeight="1">
      <c r="A21" s="2" t="s">
        <v>39</v>
      </c>
      <c r="B21" s="3" t="str">
        <f>HYPERLINK("https://www.senado.gob.ar/parlamentario/comisiones/verExp/2135.25/S/PL","2135")</f>
        <v>2135</v>
      </c>
      <c r="C21" s="3" t="str">
        <f>HYPERLINK("https://www.senado.gob.ar/parlamentario/comisiones/verExp/2135.25/S/PL","2025")</f>
        <v>2025</v>
      </c>
      <c r="D21" s="2" t="s">
        <v>56</v>
      </c>
      <c r="E21" s="2" t="s">
        <v>111</v>
      </c>
      <c r="F21" s="2" t="s">
        <v>112</v>
      </c>
      <c r="I21" s="2" t="s">
        <v>113</v>
      </c>
      <c r="K21" s="2" t="s">
        <v>44</v>
      </c>
      <c r="L21" s="2" t="s">
        <v>102</v>
      </c>
      <c r="N21" s="2" t="s">
        <v>114</v>
      </c>
      <c r="O21" s="2">
        <v>54.0</v>
      </c>
      <c r="P21" s="2" t="s">
        <v>65</v>
      </c>
      <c r="Q21" s="2" t="s">
        <v>108</v>
      </c>
      <c r="AI21" s="2" t="str">
        <f t="shared" si="1"/>
        <v/>
      </c>
      <c r="AJ21" s="2" t="s">
        <v>49</v>
      </c>
      <c r="AK21" s="2" t="s">
        <v>50</v>
      </c>
    </row>
    <row r="22" ht="15.75" customHeight="1">
      <c r="A22" s="2" t="s">
        <v>39</v>
      </c>
      <c r="B22" s="3" t="str">
        <f>HYPERLINK("https://www.senado.gob.ar/parlamentario/comisiones/verExp/2131.25/S/PL","2131")</f>
        <v>2131</v>
      </c>
      <c r="C22" s="3" t="str">
        <f>HYPERLINK("https://www.senado.gob.ar/parlamentario/comisiones/verExp/2131.25/S/PL","2025")</f>
        <v>2025</v>
      </c>
      <c r="D22" s="2" t="s">
        <v>56</v>
      </c>
      <c r="E22" s="2" t="s">
        <v>115</v>
      </c>
      <c r="F22" s="2" t="s">
        <v>112</v>
      </c>
      <c r="I22" s="2" t="s">
        <v>116</v>
      </c>
      <c r="K22" s="2" t="s">
        <v>44</v>
      </c>
      <c r="L22" s="2" t="s">
        <v>102</v>
      </c>
      <c r="N22" s="2" t="s">
        <v>91</v>
      </c>
      <c r="O22" s="2">
        <v>54.0</v>
      </c>
      <c r="P22" s="2" t="s">
        <v>65</v>
      </c>
      <c r="Q22" s="2" t="s">
        <v>108</v>
      </c>
      <c r="AI22" s="2" t="str">
        <f t="shared" si="1"/>
        <v/>
      </c>
      <c r="AJ22" s="2" t="s">
        <v>49</v>
      </c>
      <c r="AK22" s="2" t="s">
        <v>50</v>
      </c>
    </row>
    <row r="23" ht="15.75" customHeight="1">
      <c r="A23" s="2" t="s">
        <v>39</v>
      </c>
      <c r="B23" s="3" t="str">
        <f>HYPERLINK("https://www.senado.gob.ar/parlamentario/comisiones/verExp/2129.25/S/PL","2129")</f>
        <v>2129</v>
      </c>
      <c r="C23" s="3" t="str">
        <f>HYPERLINK("https://www.senado.gob.ar/parlamentario/comisiones/verExp/2129.25/S/PL","2025")</f>
        <v>2025</v>
      </c>
      <c r="D23" s="2" t="s">
        <v>56</v>
      </c>
      <c r="E23" s="2" t="s">
        <v>117</v>
      </c>
      <c r="F23" s="2" t="s">
        <v>112</v>
      </c>
      <c r="I23" s="2" t="s">
        <v>118</v>
      </c>
      <c r="K23" s="2" t="s">
        <v>44</v>
      </c>
      <c r="L23" s="2" t="s">
        <v>102</v>
      </c>
      <c r="N23" s="2" t="s">
        <v>119</v>
      </c>
      <c r="O23" s="2">
        <v>54.0</v>
      </c>
      <c r="P23" s="2" t="s">
        <v>65</v>
      </c>
      <c r="Q23" s="2" t="s">
        <v>108</v>
      </c>
      <c r="AI23" s="2" t="str">
        <f t="shared" si="1"/>
        <v/>
      </c>
      <c r="AJ23" s="2" t="s">
        <v>49</v>
      </c>
      <c r="AK23" s="2" t="s">
        <v>50</v>
      </c>
    </row>
    <row r="24" ht="15.75" customHeight="1">
      <c r="A24" s="2" t="s">
        <v>39</v>
      </c>
      <c r="B24" s="3" t="str">
        <f>HYPERLINK("https://www.senado.gob.ar/parlamentario/comisiones/verExp/2128.25/S/PL","2128")</f>
        <v>2128</v>
      </c>
      <c r="C24" s="3" t="str">
        <f>HYPERLINK("https://www.senado.gob.ar/parlamentario/comisiones/verExp/2128.25/S/PL","2025")</f>
        <v>2025</v>
      </c>
      <c r="D24" s="2" t="s">
        <v>56</v>
      </c>
      <c r="E24" s="2" t="s">
        <v>120</v>
      </c>
      <c r="F24" s="2" t="s">
        <v>121</v>
      </c>
      <c r="I24" s="2" t="s">
        <v>118</v>
      </c>
      <c r="K24" s="2" t="s">
        <v>44</v>
      </c>
      <c r="L24" s="2" t="s">
        <v>102</v>
      </c>
      <c r="N24" s="2" t="s">
        <v>122</v>
      </c>
      <c r="O24" s="2">
        <v>50.0</v>
      </c>
      <c r="P24" s="2" t="s">
        <v>47</v>
      </c>
      <c r="Q24" s="2" t="s">
        <v>108</v>
      </c>
      <c r="S24" s="2">
        <v>57.0</v>
      </c>
      <c r="T24" s="2" t="s">
        <v>123</v>
      </c>
      <c r="U24" s="2" t="s">
        <v>108</v>
      </c>
      <c r="AI24" s="2" t="str">
        <f t="shared" si="1"/>
        <v/>
      </c>
      <c r="AJ24" s="2" t="s">
        <v>49</v>
      </c>
      <c r="AK24" s="2" t="s">
        <v>50</v>
      </c>
    </row>
    <row r="25" ht="15.75" customHeight="1">
      <c r="A25" s="2" t="s">
        <v>39</v>
      </c>
      <c r="B25" s="3" t="str">
        <f>HYPERLINK("https://www.senado.gob.ar/parlamentario/comisiones/verExp/2124.25/S/PL","2124")</f>
        <v>2124</v>
      </c>
      <c r="C25" s="3" t="str">
        <f>HYPERLINK("https://www.senado.gob.ar/parlamentario/comisiones/verExp/2124.25/S/PL","2025")</f>
        <v>2025</v>
      </c>
      <c r="D25" s="2" t="s">
        <v>56</v>
      </c>
      <c r="E25" s="2" t="s">
        <v>124</v>
      </c>
      <c r="F25" s="2" t="s">
        <v>121</v>
      </c>
      <c r="I25" s="2" t="s">
        <v>125</v>
      </c>
      <c r="K25" s="2" t="s">
        <v>44</v>
      </c>
      <c r="L25" s="2" t="s">
        <v>102</v>
      </c>
      <c r="N25" s="2" t="s">
        <v>126</v>
      </c>
      <c r="O25" s="2">
        <v>50.0</v>
      </c>
      <c r="P25" s="2" t="s">
        <v>47</v>
      </c>
      <c r="Q25" s="2" t="s">
        <v>108</v>
      </c>
      <c r="AI25" s="2" t="str">
        <f t="shared" si="1"/>
        <v/>
      </c>
      <c r="AJ25" s="2" t="s">
        <v>49</v>
      </c>
      <c r="AK25" s="2" t="s">
        <v>50</v>
      </c>
    </row>
    <row r="26" ht="15.75" customHeight="1">
      <c r="A26" s="2" t="s">
        <v>39</v>
      </c>
      <c r="B26" s="3" t="str">
        <f>HYPERLINK("https://www.senado.gob.ar/parlamentario/comisiones/verExp/2121.25/S/CO","2121")</f>
        <v>2121</v>
      </c>
      <c r="C26" s="3" t="str">
        <f>HYPERLINK("https://www.senado.gob.ar/parlamentario/comisiones/verExp/2121.25/S/CO","2025")</f>
        <v>2025</v>
      </c>
      <c r="D26" s="2" t="s">
        <v>40</v>
      </c>
      <c r="E26" s="2" t="s">
        <v>127</v>
      </c>
      <c r="F26" s="2" t="s">
        <v>128</v>
      </c>
      <c r="I26" s="2" t="s">
        <v>129</v>
      </c>
      <c r="K26" s="2" t="s">
        <v>44</v>
      </c>
      <c r="L26" s="2" t="s">
        <v>130</v>
      </c>
      <c r="N26" s="2" t="s">
        <v>131</v>
      </c>
      <c r="O26" s="2">
        <v>50.0</v>
      </c>
      <c r="P26" s="2" t="s">
        <v>47</v>
      </c>
      <c r="Q26" s="2" t="s">
        <v>132</v>
      </c>
      <c r="AI26" s="2" t="str">
        <f t="shared" si="1"/>
        <v/>
      </c>
      <c r="AJ26" s="2" t="s">
        <v>49</v>
      </c>
      <c r="AK26" s="2" t="s">
        <v>50</v>
      </c>
    </row>
    <row r="27" ht="15.75" customHeight="1">
      <c r="A27" s="2" t="s">
        <v>39</v>
      </c>
      <c r="B27" s="3" t="str">
        <f>HYPERLINK("https://www.senado.gob.ar/parlamentario/comisiones/verExp/2120.25/S/CO","2120")</f>
        <v>2120</v>
      </c>
      <c r="C27" s="3" t="str">
        <f>HYPERLINK("https://www.senado.gob.ar/parlamentario/comisiones/verExp/2120.25/S/CO","2025")</f>
        <v>2025</v>
      </c>
      <c r="D27" s="2" t="s">
        <v>40</v>
      </c>
      <c r="E27" s="2" t="s">
        <v>133</v>
      </c>
      <c r="F27" s="2" t="s">
        <v>128</v>
      </c>
      <c r="I27" s="2" t="s">
        <v>129</v>
      </c>
      <c r="K27" s="2" t="s">
        <v>44</v>
      </c>
      <c r="L27" s="2" t="s">
        <v>130</v>
      </c>
      <c r="N27" s="2" t="s">
        <v>69</v>
      </c>
      <c r="O27" s="2">
        <v>50.0</v>
      </c>
      <c r="P27" s="2" t="s">
        <v>47</v>
      </c>
      <c r="Q27" s="2" t="s">
        <v>132</v>
      </c>
      <c r="AI27" s="2" t="str">
        <f t="shared" si="1"/>
        <v/>
      </c>
      <c r="AJ27" s="2" t="s">
        <v>49</v>
      </c>
      <c r="AK27" s="2" t="s">
        <v>50</v>
      </c>
    </row>
    <row r="28" ht="15.75" customHeight="1">
      <c r="A28" s="2" t="s">
        <v>39</v>
      </c>
      <c r="B28" s="3" t="str">
        <f>HYPERLINK("https://www.senado.gob.ar/parlamentario/comisiones/verExp/2117.25/S/PL","2117")</f>
        <v>2117</v>
      </c>
      <c r="C28" s="3" t="str">
        <f>HYPERLINK("https://www.senado.gob.ar/parlamentario/comisiones/verExp/2117.25/S/PL","2025")</f>
        <v>2025</v>
      </c>
      <c r="D28" s="2" t="s">
        <v>56</v>
      </c>
      <c r="E28" s="2" t="s">
        <v>134</v>
      </c>
      <c r="F28" s="2" t="s">
        <v>121</v>
      </c>
      <c r="I28" s="2" t="s">
        <v>129</v>
      </c>
      <c r="K28" s="2" t="s">
        <v>44</v>
      </c>
      <c r="L28" s="2" t="s">
        <v>102</v>
      </c>
      <c r="N28" s="2" t="s">
        <v>99</v>
      </c>
      <c r="O28" s="2">
        <v>69.0</v>
      </c>
      <c r="P28" s="2" t="s">
        <v>135</v>
      </c>
      <c r="Q28" s="2" t="s">
        <v>108</v>
      </c>
      <c r="S28" s="2">
        <v>50.0</v>
      </c>
      <c r="T28" s="2" t="s">
        <v>47</v>
      </c>
      <c r="U28" s="2" t="s">
        <v>108</v>
      </c>
      <c r="AI28" s="2" t="str">
        <f t="shared" si="1"/>
        <v/>
      </c>
      <c r="AJ28" s="2" t="s">
        <v>49</v>
      </c>
      <c r="AK28" s="2" t="s">
        <v>50</v>
      </c>
    </row>
    <row r="29" ht="15.75" customHeight="1">
      <c r="A29" s="2" t="s">
        <v>39</v>
      </c>
      <c r="B29" s="3" t="str">
        <f>HYPERLINK("https://www.senado.gob.ar/parlamentario/comisiones/verExp/2114.25/S/CO","2114")</f>
        <v>2114</v>
      </c>
      <c r="C29" s="3" t="str">
        <f>HYPERLINK("https://www.senado.gob.ar/parlamentario/comisiones/verExp/2114.25/S/CO","2025")</f>
        <v>2025</v>
      </c>
      <c r="D29" s="2" t="s">
        <v>40</v>
      </c>
      <c r="E29" s="2" t="s">
        <v>136</v>
      </c>
      <c r="F29" s="2" t="s">
        <v>128</v>
      </c>
      <c r="I29" s="2" t="s">
        <v>129</v>
      </c>
      <c r="K29" s="2" t="s">
        <v>44</v>
      </c>
      <c r="L29" s="2" t="s">
        <v>129</v>
      </c>
      <c r="N29" s="2" t="s">
        <v>137</v>
      </c>
      <c r="O29" s="2">
        <v>50.0</v>
      </c>
      <c r="P29" s="2" t="s">
        <v>47</v>
      </c>
      <c r="Q29" s="2" t="s">
        <v>138</v>
      </c>
      <c r="AI29" s="2" t="str">
        <f t="shared" si="1"/>
        <v/>
      </c>
      <c r="AJ29" s="2" t="s">
        <v>49</v>
      </c>
      <c r="AK29" s="2" t="s">
        <v>50</v>
      </c>
    </row>
    <row r="30" ht="15.75" customHeight="1">
      <c r="A30" s="2" t="s">
        <v>39</v>
      </c>
      <c r="B30" s="3" t="str">
        <f>HYPERLINK("https://www.senado.gob.ar/parlamentario/comisiones/verExp/2113.25/S/CO","2113")</f>
        <v>2113</v>
      </c>
      <c r="C30" s="3" t="str">
        <f>HYPERLINK("https://www.senado.gob.ar/parlamentario/comisiones/verExp/2113.25/S/CO","2025")</f>
        <v>2025</v>
      </c>
      <c r="D30" s="2" t="s">
        <v>40</v>
      </c>
      <c r="E30" s="2" t="s">
        <v>139</v>
      </c>
      <c r="F30" s="2" t="s">
        <v>128</v>
      </c>
      <c r="I30" s="2" t="s">
        <v>129</v>
      </c>
      <c r="K30" s="2" t="s">
        <v>44</v>
      </c>
      <c r="L30" s="2" t="s">
        <v>129</v>
      </c>
      <c r="N30" s="2" t="s">
        <v>140</v>
      </c>
      <c r="O30" s="2">
        <v>50.0</v>
      </c>
      <c r="P30" s="2" t="s">
        <v>47</v>
      </c>
      <c r="Q30" s="2" t="s">
        <v>138</v>
      </c>
      <c r="AI30" s="2" t="str">
        <f t="shared" si="1"/>
        <v/>
      </c>
      <c r="AJ30" s="2" t="s">
        <v>49</v>
      </c>
      <c r="AK30" s="2" t="s">
        <v>50</v>
      </c>
    </row>
    <row r="31" ht="15.75" customHeight="1">
      <c r="A31" s="2" t="s">
        <v>39</v>
      </c>
      <c r="B31" s="3" t="str">
        <f>HYPERLINK("https://www.senado.gob.ar/parlamentario/comisiones/verExp/2112.25/S/CO","2112")</f>
        <v>2112</v>
      </c>
      <c r="C31" s="3" t="str">
        <f>HYPERLINK("https://www.senado.gob.ar/parlamentario/comisiones/verExp/2112.25/S/CO","2025")</f>
        <v>2025</v>
      </c>
      <c r="D31" s="2" t="s">
        <v>40</v>
      </c>
      <c r="E31" s="2" t="s">
        <v>141</v>
      </c>
      <c r="F31" s="2" t="s">
        <v>128</v>
      </c>
      <c r="I31" s="2" t="s">
        <v>129</v>
      </c>
      <c r="K31" s="2" t="s">
        <v>44</v>
      </c>
      <c r="L31" s="2" t="s">
        <v>129</v>
      </c>
      <c r="N31" s="2" t="s">
        <v>142</v>
      </c>
      <c r="O31" s="2">
        <v>50.0</v>
      </c>
      <c r="P31" s="2" t="s">
        <v>47</v>
      </c>
      <c r="Q31" s="2" t="s">
        <v>138</v>
      </c>
      <c r="AI31" s="2" t="str">
        <f t="shared" si="1"/>
        <v/>
      </c>
      <c r="AJ31" s="2" t="s">
        <v>49</v>
      </c>
      <c r="AK31" s="2" t="s">
        <v>50</v>
      </c>
    </row>
    <row r="32" ht="15.75" customHeight="1">
      <c r="A32" s="2" t="s">
        <v>39</v>
      </c>
      <c r="B32" s="3" t="str">
        <f>HYPERLINK("https://www.senado.gob.ar/parlamentario/comisiones/verExp/2111.25/S/CO","2111")</f>
        <v>2111</v>
      </c>
      <c r="C32" s="3" t="str">
        <f>HYPERLINK("https://www.senado.gob.ar/parlamentario/comisiones/verExp/2111.25/S/CO","2025")</f>
        <v>2025</v>
      </c>
      <c r="D32" s="2" t="s">
        <v>40</v>
      </c>
      <c r="E32" s="2" t="s">
        <v>143</v>
      </c>
      <c r="F32" s="2" t="s">
        <v>128</v>
      </c>
      <c r="I32" s="2" t="s">
        <v>129</v>
      </c>
      <c r="K32" s="2" t="s">
        <v>44</v>
      </c>
      <c r="L32" s="2" t="s">
        <v>129</v>
      </c>
      <c r="N32" s="2" t="s">
        <v>131</v>
      </c>
      <c r="O32" s="2">
        <v>50.0</v>
      </c>
      <c r="P32" s="2" t="s">
        <v>47</v>
      </c>
      <c r="Q32" s="2" t="s">
        <v>138</v>
      </c>
      <c r="AI32" s="2" t="str">
        <f t="shared" si="1"/>
        <v/>
      </c>
      <c r="AJ32" s="2" t="s">
        <v>49</v>
      </c>
      <c r="AK32" s="2" t="s">
        <v>50</v>
      </c>
    </row>
    <row r="33" ht="15.75" customHeight="1">
      <c r="A33" s="2" t="s">
        <v>39</v>
      </c>
      <c r="B33" s="3" t="str">
        <f>HYPERLINK("https://www.senado.gob.ar/parlamentario/comisiones/verExp/2110.25/S/CO","2110")</f>
        <v>2110</v>
      </c>
      <c r="C33" s="3" t="str">
        <f>HYPERLINK("https://www.senado.gob.ar/parlamentario/comisiones/verExp/2110.25/S/CO","2025")</f>
        <v>2025</v>
      </c>
      <c r="D33" s="2" t="s">
        <v>40</v>
      </c>
      <c r="E33" s="2" t="s">
        <v>144</v>
      </c>
      <c r="F33" s="2" t="s">
        <v>128</v>
      </c>
      <c r="I33" s="2" t="s">
        <v>129</v>
      </c>
      <c r="K33" s="2" t="s">
        <v>44</v>
      </c>
      <c r="L33" s="2" t="s">
        <v>129</v>
      </c>
      <c r="N33" s="2" t="s">
        <v>46</v>
      </c>
      <c r="O33" s="2">
        <v>50.0</v>
      </c>
      <c r="P33" s="2" t="s">
        <v>47</v>
      </c>
      <c r="Q33" s="2" t="s">
        <v>138</v>
      </c>
      <c r="AI33" s="2" t="str">
        <f t="shared" si="1"/>
        <v/>
      </c>
      <c r="AJ33" s="2" t="s">
        <v>49</v>
      </c>
      <c r="AK33" s="2" t="s">
        <v>50</v>
      </c>
    </row>
    <row r="34" ht="15.75" customHeight="1">
      <c r="A34" s="2" t="s">
        <v>39</v>
      </c>
      <c r="B34" s="3" t="str">
        <f>HYPERLINK("https://www.senado.gob.ar/parlamentario/comisiones/verExp/2107.25/S/PR","2107")</f>
        <v>2107</v>
      </c>
      <c r="C34" s="3" t="str">
        <f>HYPERLINK("https://www.senado.gob.ar/parlamentario/comisiones/verExp/2107.25/S/PR","2025")</f>
        <v>2025</v>
      </c>
      <c r="D34" s="2" t="s">
        <v>145</v>
      </c>
      <c r="E34" s="2" t="s">
        <v>146</v>
      </c>
      <c r="F34" s="2" t="s">
        <v>121</v>
      </c>
      <c r="I34" s="2" t="s">
        <v>147</v>
      </c>
      <c r="K34" s="2" t="s">
        <v>44</v>
      </c>
      <c r="L34" s="2" t="s">
        <v>102</v>
      </c>
      <c r="N34" s="2" t="s">
        <v>148</v>
      </c>
      <c r="O34" s="2">
        <v>50.0</v>
      </c>
      <c r="P34" s="2" t="s">
        <v>47</v>
      </c>
      <c r="Q34" s="2" t="s">
        <v>108</v>
      </c>
      <c r="S34" s="2">
        <v>53.0</v>
      </c>
      <c r="T34" s="2" t="s">
        <v>76</v>
      </c>
      <c r="U34" s="2" t="s">
        <v>108</v>
      </c>
      <c r="AI34" s="2" t="str">
        <f t="shared" si="1"/>
        <v/>
      </c>
      <c r="AJ34" s="2" t="s">
        <v>49</v>
      </c>
      <c r="AK34" s="2" t="s">
        <v>50</v>
      </c>
    </row>
    <row r="35" ht="15.75" customHeight="1">
      <c r="A35" s="2" t="s">
        <v>39</v>
      </c>
      <c r="B35" s="3" t="str">
        <f>HYPERLINK("https://www.senado.gob.ar/parlamentario/comisiones/verExp/2089.25/S/PL","2089")</f>
        <v>2089</v>
      </c>
      <c r="C35" s="3" t="str">
        <f>HYPERLINK("https://www.senado.gob.ar/parlamentario/comisiones/verExp/2089.25/S/PL","2025")</f>
        <v>2025</v>
      </c>
      <c r="D35" s="2" t="s">
        <v>56</v>
      </c>
      <c r="E35" s="2" t="s">
        <v>149</v>
      </c>
      <c r="F35" s="2" t="s">
        <v>150</v>
      </c>
      <c r="I35" s="2" t="s">
        <v>151</v>
      </c>
      <c r="K35" s="2" t="s">
        <v>44</v>
      </c>
      <c r="L35" s="2" t="s">
        <v>102</v>
      </c>
      <c r="N35" s="2" t="s">
        <v>152</v>
      </c>
      <c r="O35" s="2">
        <v>65.0</v>
      </c>
      <c r="P35" s="2" t="s">
        <v>153</v>
      </c>
      <c r="Q35" s="2" t="s">
        <v>108</v>
      </c>
      <c r="S35" s="2">
        <v>54.0</v>
      </c>
      <c r="T35" s="2" t="s">
        <v>65</v>
      </c>
      <c r="U35" s="2" t="s">
        <v>108</v>
      </c>
      <c r="AI35" s="2" t="str">
        <f t="shared" si="1"/>
        <v/>
      </c>
      <c r="AJ35" s="2" t="s">
        <v>49</v>
      </c>
      <c r="AK35" s="2" t="s">
        <v>50</v>
      </c>
    </row>
    <row r="36" ht="15.75" customHeight="1">
      <c r="A36" s="2" t="s">
        <v>39</v>
      </c>
      <c r="B36" s="3" t="str">
        <f>HYPERLINK("https://www.senado.gob.ar/parlamentario/comisiones/verExp/2072.25/S/PL","2072")</f>
        <v>2072</v>
      </c>
      <c r="C36" s="3" t="str">
        <f>HYPERLINK("https://www.senado.gob.ar/parlamentario/comisiones/verExp/2072.25/S/PL","2025")</f>
        <v>2025</v>
      </c>
      <c r="D36" s="2" t="s">
        <v>56</v>
      </c>
      <c r="E36" s="2" t="s">
        <v>154</v>
      </c>
      <c r="F36" s="2" t="s">
        <v>150</v>
      </c>
      <c r="I36" s="2" t="s">
        <v>155</v>
      </c>
      <c r="K36" s="2" t="s">
        <v>44</v>
      </c>
      <c r="L36" s="2" t="s">
        <v>102</v>
      </c>
      <c r="N36" s="2" t="s">
        <v>156</v>
      </c>
      <c r="O36" s="2">
        <v>50.0</v>
      </c>
      <c r="P36" s="2" t="s">
        <v>47</v>
      </c>
      <c r="Q36" s="2" t="s">
        <v>108</v>
      </c>
      <c r="AI36" s="2" t="str">
        <f t="shared" si="1"/>
        <v/>
      </c>
      <c r="AJ36" s="2" t="s">
        <v>49</v>
      </c>
      <c r="AK36" s="2" t="s">
        <v>50</v>
      </c>
    </row>
    <row r="37" ht="15.75" customHeight="1">
      <c r="A37" s="2" t="s">
        <v>39</v>
      </c>
      <c r="B37" s="3" t="str">
        <f>HYPERLINK("https://www.senado.gob.ar/parlamentario/comisiones/verExp/2059.25/S/PL","2059")</f>
        <v>2059</v>
      </c>
      <c r="C37" s="3" t="str">
        <f>HYPERLINK("https://www.senado.gob.ar/parlamentario/comisiones/verExp/2059.25/S/PL","2025")</f>
        <v>2025</v>
      </c>
      <c r="D37" s="2" t="s">
        <v>56</v>
      </c>
      <c r="E37" s="2" t="s">
        <v>157</v>
      </c>
      <c r="F37" s="2" t="s">
        <v>158</v>
      </c>
      <c r="I37" s="2" t="s">
        <v>159</v>
      </c>
      <c r="K37" s="2" t="s">
        <v>44</v>
      </c>
      <c r="L37" s="2" t="s">
        <v>102</v>
      </c>
      <c r="N37" s="2" t="s">
        <v>160</v>
      </c>
      <c r="O37" s="2">
        <v>53.0</v>
      </c>
      <c r="P37" s="2" t="s">
        <v>76</v>
      </c>
      <c r="Q37" s="2" t="s">
        <v>108</v>
      </c>
      <c r="S37" s="2">
        <v>78.0</v>
      </c>
      <c r="T37" s="2" t="s">
        <v>73</v>
      </c>
      <c r="U37" s="2" t="s">
        <v>108</v>
      </c>
      <c r="AI37" s="2" t="str">
        <f t="shared" si="1"/>
        <v/>
      </c>
      <c r="AJ37" s="2" t="s">
        <v>49</v>
      </c>
      <c r="AK37" s="2" t="s">
        <v>50</v>
      </c>
    </row>
    <row r="38" ht="15.75" customHeight="1">
      <c r="A38" s="2" t="s">
        <v>39</v>
      </c>
      <c r="B38" s="3" t="str">
        <f>HYPERLINK("https://www.senado.gob.ar/parlamentario/comisiones/verExp/2056.25/S/PL","2056")</f>
        <v>2056</v>
      </c>
      <c r="C38" s="3" t="str">
        <f>HYPERLINK("https://www.senado.gob.ar/parlamentario/comisiones/verExp/2056.25/S/PL","2025")</f>
        <v>2025</v>
      </c>
      <c r="D38" s="2" t="s">
        <v>56</v>
      </c>
      <c r="E38" s="2" t="s">
        <v>161</v>
      </c>
      <c r="F38" s="2" t="s">
        <v>158</v>
      </c>
      <c r="I38" s="2" t="s">
        <v>162</v>
      </c>
      <c r="K38" s="2" t="s">
        <v>44</v>
      </c>
      <c r="L38" s="2" t="s">
        <v>102</v>
      </c>
      <c r="N38" s="2" t="s">
        <v>46</v>
      </c>
      <c r="O38" s="2">
        <v>53.0</v>
      </c>
      <c r="P38" s="2" t="s">
        <v>76</v>
      </c>
      <c r="Q38" s="2" t="s">
        <v>108</v>
      </c>
      <c r="S38" s="2">
        <v>78.0</v>
      </c>
      <c r="T38" s="2" t="s">
        <v>73</v>
      </c>
      <c r="U38" s="2" t="s">
        <v>108</v>
      </c>
      <c r="W38" s="2">
        <v>61.0</v>
      </c>
      <c r="X38" s="2" t="s">
        <v>104</v>
      </c>
      <c r="Y38" s="2" t="s">
        <v>108</v>
      </c>
      <c r="AI38" s="2" t="str">
        <f t="shared" si="1"/>
        <v/>
      </c>
      <c r="AJ38" s="2" t="s">
        <v>49</v>
      </c>
      <c r="AK38" s="2" t="s">
        <v>50</v>
      </c>
    </row>
    <row r="39" ht="15.75" customHeight="1">
      <c r="A39" s="2" t="s">
        <v>39</v>
      </c>
      <c r="B39" s="3" t="str">
        <f>HYPERLINK("https://www.senado.gob.ar/parlamentario/comisiones/verExp/2054.25/S/PL","2054")</f>
        <v>2054</v>
      </c>
      <c r="C39" s="3" t="str">
        <f>HYPERLINK("https://www.senado.gob.ar/parlamentario/comisiones/verExp/2054.25/S/PL","2025")</f>
        <v>2025</v>
      </c>
      <c r="D39" s="2" t="s">
        <v>56</v>
      </c>
      <c r="E39" s="2" t="s">
        <v>163</v>
      </c>
      <c r="F39" s="2" t="s">
        <v>158</v>
      </c>
      <c r="I39" s="2" t="s">
        <v>164</v>
      </c>
      <c r="K39" s="2" t="s">
        <v>44</v>
      </c>
      <c r="L39" s="2" t="s">
        <v>102</v>
      </c>
      <c r="N39" s="2" t="s">
        <v>165</v>
      </c>
      <c r="O39" s="2">
        <v>78.0</v>
      </c>
      <c r="P39" s="2" t="s">
        <v>73</v>
      </c>
      <c r="Q39" s="2" t="s">
        <v>108</v>
      </c>
      <c r="S39" s="2">
        <v>54.0</v>
      </c>
      <c r="T39" s="2" t="s">
        <v>65</v>
      </c>
      <c r="U39" s="2" t="s">
        <v>108</v>
      </c>
      <c r="W39" s="2">
        <v>70.0</v>
      </c>
      <c r="X39" s="2" t="s">
        <v>166</v>
      </c>
      <c r="Y39" s="2" t="s">
        <v>108</v>
      </c>
      <c r="AI39" s="2" t="str">
        <f t="shared" si="1"/>
        <v/>
      </c>
      <c r="AJ39" s="2" t="s">
        <v>49</v>
      </c>
      <c r="AK39" s="2" t="s">
        <v>50</v>
      </c>
    </row>
    <row r="40" ht="15.75" customHeight="1">
      <c r="A40" s="2" t="s">
        <v>39</v>
      </c>
      <c r="B40" s="3" t="str">
        <f>HYPERLINK("https://www.senado.gob.ar/parlamentario/comisiones/verExp/2052.25/S/PL","2052")</f>
        <v>2052</v>
      </c>
      <c r="C40" s="3" t="str">
        <f>HYPERLINK("https://www.senado.gob.ar/parlamentario/comisiones/verExp/2052.25/S/PL","2025")</f>
        <v>2025</v>
      </c>
      <c r="D40" s="2" t="s">
        <v>56</v>
      </c>
      <c r="E40" s="2" t="s">
        <v>167</v>
      </c>
      <c r="F40" s="2" t="s">
        <v>158</v>
      </c>
      <c r="I40" s="2" t="s">
        <v>164</v>
      </c>
      <c r="K40" s="2" t="s">
        <v>44</v>
      </c>
      <c r="L40" s="2" t="s">
        <v>102</v>
      </c>
      <c r="N40" s="2" t="s">
        <v>168</v>
      </c>
      <c r="O40" s="2">
        <v>53.0</v>
      </c>
      <c r="P40" s="2" t="s">
        <v>76</v>
      </c>
      <c r="Q40" s="2" t="s">
        <v>108</v>
      </c>
      <c r="AI40" s="2" t="str">
        <f t="shared" si="1"/>
        <v/>
      </c>
      <c r="AJ40" s="2" t="s">
        <v>49</v>
      </c>
      <c r="AK40" s="2" t="s">
        <v>50</v>
      </c>
    </row>
    <row r="41" ht="15.75" customHeight="1">
      <c r="A41" s="2" t="s">
        <v>39</v>
      </c>
      <c r="B41" s="3" t="str">
        <f>HYPERLINK("https://www.senado.gob.ar/parlamentario/comisiones/verExp/2045.25/S/PL","2045")</f>
        <v>2045</v>
      </c>
      <c r="C41" s="3" t="str">
        <f>HYPERLINK("https://www.senado.gob.ar/parlamentario/comisiones/verExp/2045.25/S/PL","2025")</f>
        <v>2025</v>
      </c>
      <c r="D41" s="2" t="s">
        <v>56</v>
      </c>
      <c r="E41" s="2" t="s">
        <v>169</v>
      </c>
      <c r="F41" s="2" t="s">
        <v>158</v>
      </c>
      <c r="I41" s="2" t="s">
        <v>170</v>
      </c>
      <c r="K41" s="2" t="s">
        <v>44</v>
      </c>
      <c r="L41" s="2" t="s">
        <v>162</v>
      </c>
      <c r="N41" s="2" t="s">
        <v>171</v>
      </c>
      <c r="O41" s="2">
        <v>65.0</v>
      </c>
      <c r="P41" s="2" t="s">
        <v>153</v>
      </c>
      <c r="Q41" s="2" t="s">
        <v>172</v>
      </c>
      <c r="S41" s="2">
        <v>54.0</v>
      </c>
      <c r="T41" s="2" t="s">
        <v>65</v>
      </c>
      <c r="U41" s="2" t="s">
        <v>172</v>
      </c>
      <c r="AI41" s="2" t="str">
        <f t="shared" si="1"/>
        <v/>
      </c>
      <c r="AJ41" s="2" t="s">
        <v>49</v>
      </c>
      <c r="AK41" s="2" t="s">
        <v>50</v>
      </c>
    </row>
    <row r="42" ht="15.75" customHeight="1">
      <c r="A42" s="2" t="s">
        <v>39</v>
      </c>
      <c r="B42" s="3" t="str">
        <f>HYPERLINK("https://www.senado.gob.ar/parlamentario/comisiones/verExp/2044.25/S/PL","2044")</f>
        <v>2044</v>
      </c>
      <c r="C42" s="3" t="str">
        <f>HYPERLINK("https://www.senado.gob.ar/parlamentario/comisiones/verExp/2044.25/S/PL","2025")</f>
        <v>2025</v>
      </c>
      <c r="D42" s="2" t="s">
        <v>56</v>
      </c>
      <c r="E42" s="2" t="s">
        <v>173</v>
      </c>
      <c r="F42" s="2" t="s">
        <v>158</v>
      </c>
      <c r="I42" s="2" t="s">
        <v>170</v>
      </c>
      <c r="K42" s="2" t="s">
        <v>44</v>
      </c>
      <c r="L42" s="2" t="s">
        <v>162</v>
      </c>
      <c r="N42" s="2" t="s">
        <v>174</v>
      </c>
      <c r="O42" s="2">
        <v>54.0</v>
      </c>
      <c r="P42" s="2" t="s">
        <v>65</v>
      </c>
      <c r="Q42" s="2" t="s">
        <v>172</v>
      </c>
      <c r="S42" s="2">
        <v>67.0</v>
      </c>
      <c r="T42" s="2" t="s">
        <v>84</v>
      </c>
      <c r="U42" s="2" t="s">
        <v>172</v>
      </c>
      <c r="AI42" s="2" t="str">
        <f t="shared" si="1"/>
        <v/>
      </c>
      <c r="AJ42" s="2" t="s">
        <v>49</v>
      </c>
      <c r="AK42" s="2" t="s">
        <v>50</v>
      </c>
    </row>
    <row r="43" ht="15.75" customHeight="1">
      <c r="A43" s="2" t="s">
        <v>39</v>
      </c>
      <c r="B43" s="3" t="str">
        <f>HYPERLINK("https://www.senado.gob.ar/parlamentario/comisiones/verExp/2036.25/S/PL","2036")</f>
        <v>2036</v>
      </c>
      <c r="C43" s="3" t="str">
        <f>HYPERLINK("https://www.senado.gob.ar/parlamentario/comisiones/verExp/2036.25/S/PL","2025")</f>
        <v>2025</v>
      </c>
      <c r="D43" s="2" t="s">
        <v>56</v>
      </c>
      <c r="E43" s="2" t="s">
        <v>175</v>
      </c>
      <c r="F43" s="2" t="s">
        <v>176</v>
      </c>
      <c r="I43" s="2" t="s">
        <v>177</v>
      </c>
      <c r="K43" s="2" t="s">
        <v>44</v>
      </c>
      <c r="L43" s="2" t="s">
        <v>162</v>
      </c>
      <c r="N43" s="2" t="s">
        <v>75</v>
      </c>
      <c r="O43" s="2">
        <v>53.0</v>
      </c>
      <c r="P43" s="2" t="s">
        <v>76</v>
      </c>
      <c r="Q43" s="2" t="s">
        <v>172</v>
      </c>
      <c r="AI43" s="2" t="str">
        <f t="shared" si="1"/>
        <v/>
      </c>
      <c r="AJ43" s="2" t="s">
        <v>49</v>
      </c>
      <c r="AK43" s="2" t="s">
        <v>50</v>
      </c>
    </row>
    <row r="44" ht="15.75" customHeight="1">
      <c r="A44" s="2" t="s">
        <v>39</v>
      </c>
      <c r="B44" s="3" t="str">
        <f>HYPERLINK("https://www.senado.gob.ar/parlamentario/comisiones/verExp/2035.25/S/PL","2035")</f>
        <v>2035</v>
      </c>
      <c r="C44" s="3" t="str">
        <f>HYPERLINK("https://www.senado.gob.ar/parlamentario/comisiones/verExp/2035.25/S/PL","2025")</f>
        <v>2025</v>
      </c>
      <c r="D44" s="2" t="s">
        <v>56</v>
      </c>
      <c r="E44" s="2" t="s">
        <v>178</v>
      </c>
      <c r="F44" s="2" t="s">
        <v>176</v>
      </c>
      <c r="I44" s="2" t="s">
        <v>177</v>
      </c>
      <c r="K44" s="2" t="s">
        <v>44</v>
      </c>
      <c r="L44" s="2" t="s">
        <v>162</v>
      </c>
      <c r="N44" s="2" t="s">
        <v>160</v>
      </c>
      <c r="O44" s="2">
        <v>52.0</v>
      </c>
      <c r="P44" s="2" t="s">
        <v>78</v>
      </c>
      <c r="Q44" s="2" t="s">
        <v>172</v>
      </c>
      <c r="AI44" s="2" t="str">
        <f t="shared" si="1"/>
        <v/>
      </c>
      <c r="AJ44" s="2" t="s">
        <v>49</v>
      </c>
      <c r="AK44" s="2" t="s">
        <v>50</v>
      </c>
    </row>
    <row r="45" ht="15.75" customHeight="1">
      <c r="A45" s="2" t="s">
        <v>39</v>
      </c>
      <c r="B45" s="3" t="str">
        <f>HYPERLINK("https://www.senado.gob.ar/parlamentario/comisiones/verExp/2034.25/S/PL","2034")</f>
        <v>2034</v>
      </c>
      <c r="C45" s="3" t="str">
        <f>HYPERLINK("https://www.senado.gob.ar/parlamentario/comisiones/verExp/2034.25/S/PL","2025")</f>
        <v>2025</v>
      </c>
      <c r="D45" s="2" t="s">
        <v>56</v>
      </c>
      <c r="E45" s="2" t="s">
        <v>179</v>
      </c>
      <c r="F45" s="2" t="s">
        <v>176</v>
      </c>
      <c r="I45" s="2" t="s">
        <v>177</v>
      </c>
      <c r="K45" s="2" t="s">
        <v>44</v>
      </c>
      <c r="L45" s="2" t="s">
        <v>162</v>
      </c>
      <c r="N45" s="2" t="s">
        <v>160</v>
      </c>
      <c r="O45" s="2">
        <v>67.0</v>
      </c>
      <c r="P45" s="2" t="s">
        <v>84</v>
      </c>
      <c r="Q45" s="2" t="s">
        <v>172</v>
      </c>
      <c r="S45" s="2">
        <v>68.0</v>
      </c>
      <c r="T45" s="2" t="s">
        <v>180</v>
      </c>
      <c r="U45" s="2" t="s">
        <v>172</v>
      </c>
      <c r="W45" s="2">
        <v>52.0</v>
      </c>
      <c r="X45" s="2" t="s">
        <v>78</v>
      </c>
      <c r="Y45" s="2" t="s">
        <v>172</v>
      </c>
      <c r="AI45" s="2" t="str">
        <f t="shared" si="1"/>
        <v/>
      </c>
      <c r="AJ45" s="2" t="s">
        <v>49</v>
      </c>
      <c r="AK45" s="2" t="s">
        <v>50</v>
      </c>
    </row>
    <row r="46" ht="15.75" customHeight="1">
      <c r="A46" s="2" t="s">
        <v>39</v>
      </c>
      <c r="B46" s="3" t="str">
        <f>HYPERLINK("https://www.senado.gob.ar/parlamentario/comisiones/verExp/2030.25/S/PL","2030")</f>
        <v>2030</v>
      </c>
      <c r="C46" s="3" t="str">
        <f>HYPERLINK("https://www.senado.gob.ar/parlamentario/comisiones/verExp/2030.25/S/PL","2025")</f>
        <v>2025</v>
      </c>
      <c r="D46" s="2" t="s">
        <v>56</v>
      </c>
      <c r="E46" s="2" t="s">
        <v>181</v>
      </c>
      <c r="F46" s="2" t="s">
        <v>176</v>
      </c>
      <c r="I46" s="2" t="s">
        <v>182</v>
      </c>
      <c r="K46" s="2" t="s">
        <v>44</v>
      </c>
      <c r="L46" s="2" t="s">
        <v>162</v>
      </c>
      <c r="N46" s="2" t="s">
        <v>183</v>
      </c>
      <c r="O46" s="2">
        <v>53.0</v>
      </c>
      <c r="P46" s="2" t="s">
        <v>76</v>
      </c>
      <c r="Q46" s="2" t="s">
        <v>172</v>
      </c>
      <c r="S46" s="2">
        <v>68.0</v>
      </c>
      <c r="T46" s="2" t="s">
        <v>180</v>
      </c>
      <c r="U46" s="2" t="s">
        <v>172</v>
      </c>
      <c r="W46" s="2">
        <v>52.0</v>
      </c>
      <c r="X46" s="2" t="s">
        <v>78</v>
      </c>
      <c r="Y46" s="2" t="s">
        <v>172</v>
      </c>
      <c r="AI46" s="2" t="str">
        <f t="shared" si="1"/>
        <v/>
      </c>
      <c r="AJ46" s="2" t="s">
        <v>49</v>
      </c>
      <c r="AK46" s="2" t="s">
        <v>50</v>
      </c>
    </row>
    <row r="47" ht="15.75" customHeight="1">
      <c r="A47" s="2" t="s">
        <v>39</v>
      </c>
      <c r="B47" s="3" t="str">
        <f>HYPERLINK("https://www.senado.gob.ar/parlamentario/comisiones/verExp/2029.25/S/PL","2029")</f>
        <v>2029</v>
      </c>
      <c r="C47" s="3" t="str">
        <f>HYPERLINK("https://www.senado.gob.ar/parlamentario/comisiones/verExp/2029.25/S/PL","2025")</f>
        <v>2025</v>
      </c>
      <c r="D47" s="2" t="s">
        <v>56</v>
      </c>
      <c r="E47" s="2" t="s">
        <v>184</v>
      </c>
      <c r="F47" s="2" t="s">
        <v>176</v>
      </c>
      <c r="I47" s="2" t="s">
        <v>182</v>
      </c>
      <c r="K47" s="2" t="s">
        <v>44</v>
      </c>
      <c r="L47" s="2" t="s">
        <v>162</v>
      </c>
      <c r="N47" s="2" t="s">
        <v>160</v>
      </c>
      <c r="O47" s="2">
        <v>52.0</v>
      </c>
      <c r="P47" s="2" t="s">
        <v>78</v>
      </c>
      <c r="Q47" s="2" t="s">
        <v>172</v>
      </c>
      <c r="AI47" s="2" t="str">
        <f t="shared" si="1"/>
        <v/>
      </c>
      <c r="AJ47" s="2" t="s">
        <v>49</v>
      </c>
      <c r="AK47" s="2" t="s">
        <v>50</v>
      </c>
    </row>
    <row r="48" ht="15.75" customHeight="1">
      <c r="A48" s="2" t="s">
        <v>39</v>
      </c>
      <c r="B48" s="3" t="str">
        <f>HYPERLINK("https://www.senado.gob.ar/parlamentario/comisiones/verExp/2028.25/S/PL","2028")</f>
        <v>2028</v>
      </c>
      <c r="C48" s="3" t="str">
        <f>HYPERLINK("https://www.senado.gob.ar/parlamentario/comisiones/verExp/2028.25/S/PL","2025")</f>
        <v>2025</v>
      </c>
      <c r="D48" s="2" t="s">
        <v>56</v>
      </c>
      <c r="E48" s="2" t="s">
        <v>185</v>
      </c>
      <c r="F48" s="2" t="s">
        <v>176</v>
      </c>
      <c r="I48" s="2" t="s">
        <v>182</v>
      </c>
      <c r="K48" s="2" t="s">
        <v>44</v>
      </c>
      <c r="L48" s="2" t="s">
        <v>162</v>
      </c>
      <c r="N48" s="2" t="s">
        <v>160</v>
      </c>
      <c r="O48" s="2">
        <v>64.0</v>
      </c>
      <c r="P48" s="2" t="s">
        <v>186</v>
      </c>
      <c r="Q48" s="2" t="s">
        <v>172</v>
      </c>
      <c r="S48" s="2">
        <v>52.0</v>
      </c>
      <c r="T48" s="2" t="s">
        <v>78</v>
      </c>
      <c r="U48" s="2" t="s">
        <v>172</v>
      </c>
      <c r="AI48" s="2" t="str">
        <f t="shared" si="1"/>
        <v/>
      </c>
      <c r="AJ48" s="2" t="s">
        <v>49</v>
      </c>
      <c r="AK48" s="2" t="s">
        <v>50</v>
      </c>
    </row>
    <row r="49" ht="15.75" customHeight="1">
      <c r="A49" s="2" t="s">
        <v>39</v>
      </c>
      <c r="B49" s="3" t="str">
        <f>HYPERLINK("https://www.senado.gob.ar/parlamentario/comisiones/verExp/2027.25/S/PL","2027")</f>
        <v>2027</v>
      </c>
      <c r="C49" s="3" t="str">
        <f>HYPERLINK("https://www.senado.gob.ar/parlamentario/comisiones/verExp/2027.25/S/PL","2025")</f>
        <v>2025</v>
      </c>
      <c r="D49" s="2" t="s">
        <v>56</v>
      </c>
      <c r="E49" s="2" t="s">
        <v>187</v>
      </c>
      <c r="F49" s="2" t="s">
        <v>176</v>
      </c>
      <c r="I49" s="2" t="s">
        <v>182</v>
      </c>
      <c r="K49" s="2" t="s">
        <v>44</v>
      </c>
      <c r="L49" s="2" t="s">
        <v>162</v>
      </c>
      <c r="N49" s="2" t="s">
        <v>160</v>
      </c>
      <c r="O49" s="2">
        <v>53.0</v>
      </c>
      <c r="P49" s="2" t="s">
        <v>76</v>
      </c>
      <c r="Q49" s="2" t="s">
        <v>172</v>
      </c>
      <c r="S49" s="2">
        <v>52.0</v>
      </c>
      <c r="T49" s="2" t="s">
        <v>78</v>
      </c>
      <c r="U49" s="2" t="s">
        <v>172</v>
      </c>
      <c r="AI49" s="2" t="str">
        <f t="shared" si="1"/>
        <v/>
      </c>
      <c r="AJ49" s="2" t="s">
        <v>49</v>
      </c>
      <c r="AK49" s="2" t="s">
        <v>50</v>
      </c>
    </row>
    <row r="50" ht="15.75" customHeight="1">
      <c r="A50" s="2" t="s">
        <v>39</v>
      </c>
      <c r="B50" s="3" t="str">
        <f>HYPERLINK("https://www.senado.gob.ar/parlamentario/comisiones/verExp/2026.25/S/PL","2026")</f>
        <v>2026</v>
      </c>
      <c r="C50" s="3" t="str">
        <f>HYPERLINK("https://www.senado.gob.ar/parlamentario/comisiones/verExp/2026.25/S/PL","2025")</f>
        <v>2025</v>
      </c>
      <c r="D50" s="2" t="s">
        <v>56</v>
      </c>
      <c r="E50" s="2" t="s">
        <v>188</v>
      </c>
      <c r="F50" s="2" t="s">
        <v>176</v>
      </c>
      <c r="I50" s="2" t="s">
        <v>182</v>
      </c>
      <c r="K50" s="2" t="s">
        <v>44</v>
      </c>
      <c r="L50" s="2" t="s">
        <v>162</v>
      </c>
      <c r="N50" s="2" t="s">
        <v>160</v>
      </c>
      <c r="O50" s="2">
        <v>69.0</v>
      </c>
      <c r="P50" s="2" t="s">
        <v>135</v>
      </c>
      <c r="Q50" s="2" t="s">
        <v>172</v>
      </c>
      <c r="S50" s="2">
        <v>52.0</v>
      </c>
      <c r="T50" s="2" t="s">
        <v>78</v>
      </c>
      <c r="U50" s="2" t="s">
        <v>172</v>
      </c>
      <c r="AI50" s="2" t="str">
        <f t="shared" si="1"/>
        <v/>
      </c>
      <c r="AJ50" s="2" t="s">
        <v>49</v>
      </c>
      <c r="AK50" s="2" t="s">
        <v>50</v>
      </c>
    </row>
    <row r="51" ht="15.75" customHeight="1">
      <c r="A51" s="2" t="s">
        <v>39</v>
      </c>
      <c r="B51" s="3" t="str">
        <f t="shared" ref="B51:C51" si="2">HYPERLINK("https://www.senado.gob.ar/parlamentario/comisiones/verExp/2025.25/S/PL","2025")</f>
        <v>2025</v>
      </c>
      <c r="C51" s="3" t="str">
        <f t="shared" si="2"/>
        <v>2025</v>
      </c>
      <c r="D51" s="2" t="s">
        <v>56</v>
      </c>
      <c r="E51" s="2" t="s">
        <v>189</v>
      </c>
      <c r="F51" s="2" t="s">
        <v>176</v>
      </c>
      <c r="I51" s="2" t="s">
        <v>182</v>
      </c>
      <c r="K51" s="2" t="s">
        <v>44</v>
      </c>
      <c r="L51" s="2" t="s">
        <v>162</v>
      </c>
      <c r="N51" s="2" t="s">
        <v>160</v>
      </c>
      <c r="O51" s="2">
        <v>67.0</v>
      </c>
      <c r="P51" s="2" t="s">
        <v>84</v>
      </c>
      <c r="Q51" s="2" t="s">
        <v>172</v>
      </c>
      <c r="S51" s="2">
        <v>52.0</v>
      </c>
      <c r="T51" s="2" t="s">
        <v>78</v>
      </c>
      <c r="U51" s="2" t="s">
        <v>172</v>
      </c>
      <c r="AI51" s="2" t="str">
        <f t="shared" si="1"/>
        <v/>
      </c>
      <c r="AJ51" s="2" t="s">
        <v>49</v>
      </c>
      <c r="AK51" s="2" t="s">
        <v>50</v>
      </c>
    </row>
    <row r="52" ht="15.75" customHeight="1">
      <c r="A52" s="2" t="s">
        <v>39</v>
      </c>
      <c r="B52" s="3" t="str">
        <f>HYPERLINK("https://www.senado.gob.ar/parlamentario/comisiones/verExp/2024.25/S/PL","2024")</f>
        <v>2024</v>
      </c>
      <c r="C52" s="3" t="str">
        <f>HYPERLINK("https://www.senado.gob.ar/parlamentario/comisiones/verExp/2024.25/S/PL","2025")</f>
        <v>2025</v>
      </c>
      <c r="D52" s="2" t="s">
        <v>56</v>
      </c>
      <c r="E52" s="2" t="s">
        <v>190</v>
      </c>
      <c r="F52" s="2" t="s">
        <v>176</v>
      </c>
      <c r="I52" s="2" t="s">
        <v>182</v>
      </c>
      <c r="K52" s="2" t="s">
        <v>44</v>
      </c>
      <c r="L52" s="2" t="s">
        <v>162</v>
      </c>
      <c r="N52" s="2" t="s">
        <v>160</v>
      </c>
      <c r="O52" s="2">
        <v>53.0</v>
      </c>
      <c r="P52" s="2" t="s">
        <v>76</v>
      </c>
      <c r="Q52" s="2" t="s">
        <v>172</v>
      </c>
      <c r="S52" s="2">
        <v>52.0</v>
      </c>
      <c r="T52" s="2" t="s">
        <v>78</v>
      </c>
      <c r="U52" s="2" t="s">
        <v>172</v>
      </c>
      <c r="AI52" s="2" t="str">
        <f t="shared" si="1"/>
        <v/>
      </c>
      <c r="AJ52" s="2" t="s">
        <v>49</v>
      </c>
      <c r="AK52" s="2" t="s">
        <v>50</v>
      </c>
    </row>
    <row r="53" ht="15.75" customHeight="1">
      <c r="A53" s="2" t="s">
        <v>39</v>
      </c>
      <c r="B53" s="3" t="str">
        <f>HYPERLINK("https://www.senado.gob.ar/parlamentario/comisiones/verExp/2023.25/S/PL","2023")</f>
        <v>2023</v>
      </c>
      <c r="C53" s="3" t="str">
        <f>HYPERLINK("https://www.senado.gob.ar/parlamentario/comisiones/verExp/2023.25/S/PL","2025")</f>
        <v>2025</v>
      </c>
      <c r="D53" s="2" t="s">
        <v>56</v>
      </c>
      <c r="E53" s="2" t="s">
        <v>191</v>
      </c>
      <c r="F53" s="2" t="s">
        <v>176</v>
      </c>
      <c r="I53" s="2" t="s">
        <v>182</v>
      </c>
      <c r="K53" s="2" t="s">
        <v>44</v>
      </c>
      <c r="L53" s="2" t="s">
        <v>162</v>
      </c>
      <c r="N53" s="2" t="s">
        <v>160</v>
      </c>
      <c r="O53" s="2">
        <v>69.0</v>
      </c>
      <c r="P53" s="2" t="s">
        <v>135</v>
      </c>
      <c r="Q53" s="2" t="s">
        <v>172</v>
      </c>
      <c r="S53" s="2">
        <v>52.0</v>
      </c>
      <c r="T53" s="2" t="s">
        <v>78</v>
      </c>
      <c r="U53" s="2" t="s">
        <v>172</v>
      </c>
      <c r="AI53" s="2" t="str">
        <f t="shared" si="1"/>
        <v/>
      </c>
      <c r="AJ53" s="2" t="s">
        <v>49</v>
      </c>
      <c r="AK53" s="2" t="s">
        <v>50</v>
      </c>
    </row>
    <row r="54" ht="15.75" customHeight="1">
      <c r="A54" s="2" t="s">
        <v>39</v>
      </c>
      <c r="B54" s="3" t="str">
        <f>HYPERLINK("https://www.senado.gob.ar/parlamentario/comisiones/verExp/2022.25/S/PL","2022")</f>
        <v>2022</v>
      </c>
      <c r="C54" s="3" t="str">
        <f>HYPERLINK("https://www.senado.gob.ar/parlamentario/comisiones/verExp/2022.25/S/PL","2025")</f>
        <v>2025</v>
      </c>
      <c r="D54" s="2" t="s">
        <v>56</v>
      </c>
      <c r="E54" s="2" t="s">
        <v>192</v>
      </c>
      <c r="F54" s="2" t="s">
        <v>176</v>
      </c>
      <c r="I54" s="2" t="s">
        <v>182</v>
      </c>
      <c r="K54" s="2" t="s">
        <v>44</v>
      </c>
      <c r="L54" s="2" t="s">
        <v>162</v>
      </c>
      <c r="N54" s="2" t="s">
        <v>160</v>
      </c>
      <c r="O54" s="2">
        <v>53.0</v>
      </c>
      <c r="P54" s="2" t="s">
        <v>76</v>
      </c>
      <c r="Q54" s="2" t="s">
        <v>172</v>
      </c>
      <c r="S54" s="2">
        <v>52.0</v>
      </c>
      <c r="T54" s="2" t="s">
        <v>78</v>
      </c>
      <c r="U54" s="2" t="s">
        <v>172</v>
      </c>
      <c r="AI54" s="2" t="str">
        <f t="shared" si="1"/>
        <v/>
      </c>
      <c r="AJ54" s="2" t="s">
        <v>49</v>
      </c>
      <c r="AK54" s="2" t="s">
        <v>50</v>
      </c>
    </row>
    <row r="55" ht="15.75" customHeight="1">
      <c r="A55" s="2" t="s">
        <v>39</v>
      </c>
      <c r="B55" s="3" t="str">
        <f>HYPERLINK("https://www.senado.gob.ar/parlamentario/comisiones/verExp/2021.25/S/PL","2021")</f>
        <v>2021</v>
      </c>
      <c r="C55" s="3" t="str">
        <f>HYPERLINK("https://www.senado.gob.ar/parlamentario/comisiones/verExp/2021.25/S/PL","2025")</f>
        <v>2025</v>
      </c>
      <c r="D55" s="2" t="s">
        <v>56</v>
      </c>
      <c r="E55" s="2" t="s">
        <v>193</v>
      </c>
      <c r="F55" s="2" t="s">
        <v>176</v>
      </c>
      <c r="I55" s="2" t="s">
        <v>182</v>
      </c>
      <c r="K55" s="2" t="s">
        <v>44</v>
      </c>
      <c r="L55" s="2" t="s">
        <v>162</v>
      </c>
      <c r="N55" s="2" t="s">
        <v>160</v>
      </c>
      <c r="O55" s="2">
        <v>58.0</v>
      </c>
      <c r="P55" s="2" t="s">
        <v>194</v>
      </c>
      <c r="Q55" s="2" t="s">
        <v>172</v>
      </c>
      <c r="S55" s="2">
        <v>54.0</v>
      </c>
      <c r="T55" s="2" t="s">
        <v>65</v>
      </c>
      <c r="U55" s="2" t="s">
        <v>172</v>
      </c>
      <c r="AI55" s="2" t="str">
        <f t="shared" si="1"/>
        <v/>
      </c>
      <c r="AJ55" s="2" t="s">
        <v>49</v>
      </c>
      <c r="AK55" s="2" t="s">
        <v>50</v>
      </c>
    </row>
    <row r="56" ht="15.75" customHeight="1">
      <c r="A56" s="2" t="s">
        <v>39</v>
      </c>
      <c r="B56" s="3" t="str">
        <f>HYPERLINK("https://www.senado.gob.ar/parlamentario/comisiones/verExp/2020.25/S/PL","2020")</f>
        <v>2020</v>
      </c>
      <c r="C56" s="3" t="str">
        <f>HYPERLINK("https://www.senado.gob.ar/parlamentario/comisiones/verExp/2020.25/S/PL","2025")</f>
        <v>2025</v>
      </c>
      <c r="D56" s="2" t="s">
        <v>56</v>
      </c>
      <c r="E56" s="2" t="s">
        <v>195</v>
      </c>
      <c r="F56" s="2" t="s">
        <v>176</v>
      </c>
      <c r="I56" s="2" t="s">
        <v>182</v>
      </c>
      <c r="K56" s="2" t="s">
        <v>44</v>
      </c>
      <c r="L56" s="2" t="s">
        <v>162</v>
      </c>
      <c r="N56" s="2" t="s">
        <v>160</v>
      </c>
      <c r="O56" s="2">
        <v>52.0</v>
      </c>
      <c r="P56" s="2" t="s">
        <v>78</v>
      </c>
      <c r="Q56" s="2" t="s">
        <v>172</v>
      </c>
      <c r="AI56" s="2" t="str">
        <f t="shared" si="1"/>
        <v/>
      </c>
      <c r="AJ56" s="2" t="s">
        <v>49</v>
      </c>
      <c r="AK56" s="2" t="s">
        <v>50</v>
      </c>
    </row>
    <row r="57" ht="15.75" customHeight="1">
      <c r="A57" s="2" t="s">
        <v>39</v>
      </c>
      <c r="B57" s="3" t="str">
        <f>HYPERLINK("https://www.senado.gob.ar/parlamentario/comisiones/verExp/2019.25/S/PL","2019")</f>
        <v>2019</v>
      </c>
      <c r="C57" s="3" t="str">
        <f>HYPERLINK("https://www.senado.gob.ar/parlamentario/comisiones/verExp/2019.25/S/PL","2025")</f>
        <v>2025</v>
      </c>
      <c r="D57" s="2" t="s">
        <v>56</v>
      </c>
      <c r="E57" s="2" t="s">
        <v>196</v>
      </c>
      <c r="F57" s="2" t="s">
        <v>176</v>
      </c>
      <c r="I57" s="2" t="s">
        <v>182</v>
      </c>
      <c r="K57" s="2" t="s">
        <v>44</v>
      </c>
      <c r="L57" s="2" t="s">
        <v>162</v>
      </c>
      <c r="N57" s="2" t="s">
        <v>160</v>
      </c>
      <c r="O57" s="2">
        <v>78.0</v>
      </c>
      <c r="P57" s="2" t="s">
        <v>73</v>
      </c>
      <c r="Q57" s="2" t="s">
        <v>172</v>
      </c>
      <c r="S57" s="2">
        <v>61.0</v>
      </c>
      <c r="T57" s="2" t="s">
        <v>104</v>
      </c>
      <c r="U57" s="2" t="s">
        <v>172</v>
      </c>
      <c r="AI57" s="2" t="str">
        <f t="shared" si="1"/>
        <v/>
      </c>
      <c r="AJ57" s="2" t="s">
        <v>49</v>
      </c>
      <c r="AK57" s="2" t="s">
        <v>50</v>
      </c>
    </row>
    <row r="58" ht="15.75" customHeight="1">
      <c r="A58" s="2" t="s">
        <v>39</v>
      </c>
      <c r="B58" s="3" t="str">
        <f>HYPERLINK("https://www.senado.gob.ar/parlamentario/comisiones/verExp/2018.25/S/PL","2018")</f>
        <v>2018</v>
      </c>
      <c r="C58" s="3" t="str">
        <f>HYPERLINK("https://www.senado.gob.ar/parlamentario/comisiones/verExp/2018.25/S/PL","2025")</f>
        <v>2025</v>
      </c>
      <c r="D58" s="2" t="s">
        <v>56</v>
      </c>
      <c r="E58" s="2" t="s">
        <v>197</v>
      </c>
      <c r="F58" s="2" t="s">
        <v>198</v>
      </c>
      <c r="I58" s="2" t="s">
        <v>182</v>
      </c>
      <c r="K58" s="2" t="s">
        <v>44</v>
      </c>
      <c r="L58" s="2" t="s">
        <v>162</v>
      </c>
      <c r="N58" s="2" t="s">
        <v>160</v>
      </c>
      <c r="O58" s="2">
        <v>67.0</v>
      </c>
      <c r="P58" s="2" t="s">
        <v>84</v>
      </c>
      <c r="Q58" s="2" t="s">
        <v>172</v>
      </c>
      <c r="S58" s="2">
        <v>54.0</v>
      </c>
      <c r="T58" s="2" t="s">
        <v>65</v>
      </c>
      <c r="U58" s="2" t="s">
        <v>172</v>
      </c>
      <c r="AI58" s="2" t="str">
        <f t="shared" si="1"/>
        <v/>
      </c>
      <c r="AJ58" s="2" t="s">
        <v>49</v>
      </c>
      <c r="AK58" s="2" t="s">
        <v>50</v>
      </c>
    </row>
    <row r="59" ht="15.75" customHeight="1">
      <c r="A59" s="2" t="s">
        <v>39</v>
      </c>
      <c r="B59" s="3" t="str">
        <f>HYPERLINK("https://www.senado.gob.ar/parlamentario/comisiones/verExp/2017.25/S/PL","2017")</f>
        <v>2017</v>
      </c>
      <c r="C59" s="3" t="str">
        <f>HYPERLINK("https://www.senado.gob.ar/parlamentario/comisiones/verExp/2017.25/S/PL","2025")</f>
        <v>2025</v>
      </c>
      <c r="D59" s="2" t="s">
        <v>56</v>
      </c>
      <c r="E59" s="2" t="s">
        <v>199</v>
      </c>
      <c r="F59" s="2" t="s">
        <v>198</v>
      </c>
      <c r="I59" s="2" t="s">
        <v>182</v>
      </c>
      <c r="K59" s="2" t="s">
        <v>44</v>
      </c>
      <c r="L59" s="2" t="s">
        <v>162</v>
      </c>
      <c r="N59" s="2" t="s">
        <v>160</v>
      </c>
      <c r="O59" s="2">
        <v>78.0</v>
      </c>
      <c r="P59" s="2" t="s">
        <v>73</v>
      </c>
      <c r="Q59" s="2" t="s">
        <v>172</v>
      </c>
      <c r="S59" s="2">
        <v>68.0</v>
      </c>
      <c r="T59" s="2" t="s">
        <v>180</v>
      </c>
      <c r="U59" s="2" t="s">
        <v>172</v>
      </c>
      <c r="W59" s="2">
        <v>54.0</v>
      </c>
      <c r="X59" s="2" t="s">
        <v>65</v>
      </c>
      <c r="Y59" s="2" t="s">
        <v>172</v>
      </c>
      <c r="AI59" s="2" t="str">
        <f t="shared" si="1"/>
        <v/>
      </c>
      <c r="AJ59" s="2" t="s">
        <v>49</v>
      </c>
      <c r="AK59" s="2" t="s">
        <v>50</v>
      </c>
    </row>
    <row r="60" ht="15.75" customHeight="1">
      <c r="A60" s="2" t="s">
        <v>39</v>
      </c>
      <c r="B60" s="3" t="str">
        <f>HYPERLINK("https://www.senado.gob.ar/parlamentario/comisiones/verExp/2016.25/S/PL","2016")</f>
        <v>2016</v>
      </c>
      <c r="C60" s="3" t="str">
        <f>HYPERLINK("https://www.senado.gob.ar/parlamentario/comisiones/verExp/2016.25/S/PL","2025")</f>
        <v>2025</v>
      </c>
      <c r="D60" s="2" t="s">
        <v>56</v>
      </c>
      <c r="E60" s="2" t="s">
        <v>200</v>
      </c>
      <c r="F60" s="2" t="s">
        <v>198</v>
      </c>
      <c r="I60" s="2" t="s">
        <v>182</v>
      </c>
      <c r="K60" s="2" t="s">
        <v>44</v>
      </c>
      <c r="L60" s="2" t="s">
        <v>162</v>
      </c>
      <c r="N60" s="2" t="s">
        <v>160</v>
      </c>
      <c r="O60" s="2">
        <v>78.0</v>
      </c>
      <c r="P60" s="2" t="s">
        <v>73</v>
      </c>
      <c r="Q60" s="2" t="s">
        <v>172</v>
      </c>
      <c r="S60" s="2">
        <v>61.0</v>
      </c>
      <c r="T60" s="2" t="s">
        <v>104</v>
      </c>
      <c r="U60" s="2" t="s">
        <v>172</v>
      </c>
      <c r="AI60" s="2" t="str">
        <f t="shared" si="1"/>
        <v/>
      </c>
      <c r="AJ60" s="2" t="s">
        <v>49</v>
      </c>
      <c r="AK60" s="2" t="s">
        <v>50</v>
      </c>
    </row>
    <row r="61" ht="15.75" customHeight="1">
      <c r="A61" s="2" t="s">
        <v>39</v>
      </c>
      <c r="B61" s="3" t="str">
        <f>HYPERLINK("https://www.senado.gob.ar/parlamentario/comisiones/verExp/2015.25/S/PL","2015")</f>
        <v>2015</v>
      </c>
      <c r="C61" s="3" t="str">
        <f>HYPERLINK("https://www.senado.gob.ar/parlamentario/comisiones/verExp/2015.25/S/PL","2025")</f>
        <v>2025</v>
      </c>
      <c r="D61" s="2" t="s">
        <v>56</v>
      </c>
      <c r="E61" s="2" t="s">
        <v>201</v>
      </c>
      <c r="F61" s="2" t="s">
        <v>198</v>
      </c>
      <c r="I61" s="2" t="s">
        <v>182</v>
      </c>
      <c r="K61" s="2" t="s">
        <v>44</v>
      </c>
      <c r="L61" s="2" t="s">
        <v>162</v>
      </c>
      <c r="N61" s="2" t="s">
        <v>160</v>
      </c>
      <c r="O61" s="2">
        <v>78.0</v>
      </c>
      <c r="P61" s="2" t="s">
        <v>73</v>
      </c>
      <c r="Q61" s="2" t="s">
        <v>172</v>
      </c>
      <c r="S61" s="2">
        <v>68.0</v>
      </c>
      <c r="T61" s="2" t="s">
        <v>180</v>
      </c>
      <c r="U61" s="2" t="s">
        <v>172</v>
      </c>
      <c r="W61" s="2">
        <v>54.0</v>
      </c>
      <c r="X61" s="2" t="s">
        <v>65</v>
      </c>
      <c r="Y61" s="2" t="s">
        <v>172</v>
      </c>
      <c r="AI61" s="2" t="str">
        <f t="shared" si="1"/>
        <v/>
      </c>
      <c r="AJ61" s="2" t="s">
        <v>49</v>
      </c>
      <c r="AK61" s="2" t="s">
        <v>50</v>
      </c>
    </row>
    <row r="62" ht="15.75" customHeight="1">
      <c r="A62" s="2" t="s">
        <v>39</v>
      </c>
      <c r="B62" s="3" t="str">
        <f>HYPERLINK("https://www.senado.gob.ar/parlamentario/comisiones/verExp/2014.25/S/PL","2014")</f>
        <v>2014</v>
      </c>
      <c r="C62" s="3" t="str">
        <f>HYPERLINK("https://www.senado.gob.ar/parlamentario/comisiones/verExp/2014.25/S/PL","2025")</f>
        <v>2025</v>
      </c>
      <c r="D62" s="2" t="s">
        <v>56</v>
      </c>
      <c r="E62" s="2" t="s">
        <v>202</v>
      </c>
      <c r="F62" s="2" t="s">
        <v>198</v>
      </c>
      <c r="I62" s="2" t="s">
        <v>182</v>
      </c>
      <c r="K62" s="2" t="s">
        <v>44</v>
      </c>
      <c r="L62" s="2" t="s">
        <v>162</v>
      </c>
      <c r="N62" s="2" t="s">
        <v>160</v>
      </c>
      <c r="O62" s="2">
        <v>52.0</v>
      </c>
      <c r="P62" s="2" t="s">
        <v>78</v>
      </c>
      <c r="Q62" s="2" t="s">
        <v>172</v>
      </c>
      <c r="AI62" s="2" t="str">
        <f t="shared" si="1"/>
        <v/>
      </c>
      <c r="AJ62" s="2" t="s">
        <v>49</v>
      </c>
      <c r="AK62" s="2" t="s">
        <v>50</v>
      </c>
    </row>
    <row r="63" ht="15.75" customHeight="1">
      <c r="A63" s="2" t="s">
        <v>39</v>
      </c>
      <c r="B63" s="3" t="str">
        <f>HYPERLINK("https://www.senado.gob.ar/parlamentario/comisiones/verExp/2013.25/S/PL","2013")</f>
        <v>2013</v>
      </c>
      <c r="C63" s="3" t="str">
        <f>HYPERLINK("https://www.senado.gob.ar/parlamentario/comisiones/verExp/2013.25/S/PL","2025")</f>
        <v>2025</v>
      </c>
      <c r="D63" s="2" t="s">
        <v>56</v>
      </c>
      <c r="E63" s="2" t="s">
        <v>203</v>
      </c>
      <c r="F63" s="2" t="s">
        <v>198</v>
      </c>
      <c r="I63" s="2" t="s">
        <v>182</v>
      </c>
      <c r="K63" s="2" t="s">
        <v>44</v>
      </c>
      <c r="L63" s="2" t="s">
        <v>162</v>
      </c>
      <c r="N63" s="2" t="s">
        <v>204</v>
      </c>
      <c r="O63" s="2">
        <v>54.0</v>
      </c>
      <c r="P63" s="2" t="s">
        <v>65</v>
      </c>
      <c r="Q63" s="2" t="s">
        <v>172</v>
      </c>
      <c r="S63" s="2">
        <v>62.0</v>
      </c>
      <c r="T63" s="2" t="s">
        <v>205</v>
      </c>
      <c r="U63" s="2" t="s">
        <v>172</v>
      </c>
      <c r="W63" s="2">
        <v>53.0</v>
      </c>
      <c r="X63" s="2" t="s">
        <v>76</v>
      </c>
      <c r="Y63" s="2" t="s">
        <v>172</v>
      </c>
      <c r="AI63" s="2" t="str">
        <f t="shared" si="1"/>
        <v/>
      </c>
      <c r="AJ63" s="2" t="s">
        <v>49</v>
      </c>
      <c r="AK63" s="2" t="s">
        <v>50</v>
      </c>
    </row>
    <row r="64" ht="15.75" customHeight="1">
      <c r="A64" s="2" t="s">
        <v>39</v>
      </c>
      <c r="B64" s="3" t="str">
        <f>HYPERLINK("https://www.senado.gob.ar/parlamentario/comisiones/verExp/2012.25/S/PL","2012")</f>
        <v>2012</v>
      </c>
      <c r="C64" s="3" t="str">
        <f>HYPERLINK("https://www.senado.gob.ar/parlamentario/comisiones/verExp/2012.25/S/PL","2025")</f>
        <v>2025</v>
      </c>
      <c r="D64" s="2" t="s">
        <v>56</v>
      </c>
      <c r="E64" s="2" t="s">
        <v>206</v>
      </c>
      <c r="F64" s="2" t="s">
        <v>198</v>
      </c>
      <c r="I64" s="2" t="s">
        <v>182</v>
      </c>
      <c r="K64" s="2" t="s">
        <v>44</v>
      </c>
      <c r="L64" s="2" t="s">
        <v>162</v>
      </c>
      <c r="N64" s="2" t="s">
        <v>207</v>
      </c>
      <c r="O64" s="2">
        <v>60.0</v>
      </c>
      <c r="P64" s="2" t="s">
        <v>64</v>
      </c>
      <c r="Q64" s="2" t="s">
        <v>172</v>
      </c>
      <c r="S64" s="2">
        <v>54.0</v>
      </c>
      <c r="T64" s="2" t="s">
        <v>65</v>
      </c>
      <c r="U64" s="2" t="s">
        <v>172</v>
      </c>
      <c r="AI64" s="2" t="str">
        <f t="shared" si="1"/>
        <v/>
      </c>
      <c r="AJ64" s="2" t="s">
        <v>49</v>
      </c>
      <c r="AK64" s="2" t="s">
        <v>50</v>
      </c>
    </row>
    <row r="65" ht="15.75" customHeight="1">
      <c r="A65" s="2" t="s">
        <v>39</v>
      </c>
      <c r="B65" s="3" t="str">
        <f>HYPERLINK("https://www.senado.gob.ar/parlamentario/comisiones/verExp/2006.25/S/PL","2006")</f>
        <v>2006</v>
      </c>
      <c r="C65" s="3" t="str">
        <f>HYPERLINK("https://www.senado.gob.ar/parlamentario/comisiones/verExp/2006.25/S/PL","2025")</f>
        <v>2025</v>
      </c>
      <c r="D65" s="2" t="s">
        <v>56</v>
      </c>
      <c r="E65" s="2" t="s">
        <v>208</v>
      </c>
      <c r="F65" s="2" t="s">
        <v>198</v>
      </c>
      <c r="I65" s="2" t="s">
        <v>182</v>
      </c>
      <c r="K65" s="2" t="s">
        <v>44</v>
      </c>
      <c r="L65" s="2" t="s">
        <v>162</v>
      </c>
      <c r="N65" s="2" t="s">
        <v>204</v>
      </c>
      <c r="O65" s="2">
        <v>67.0</v>
      </c>
      <c r="P65" s="2" t="s">
        <v>84</v>
      </c>
      <c r="Q65" s="2" t="s">
        <v>172</v>
      </c>
      <c r="S65" s="2">
        <v>54.0</v>
      </c>
      <c r="T65" s="2" t="s">
        <v>65</v>
      </c>
      <c r="U65" s="2" t="s">
        <v>172</v>
      </c>
      <c r="AI65" s="2" t="str">
        <f t="shared" si="1"/>
        <v/>
      </c>
      <c r="AJ65" s="2" t="s">
        <v>49</v>
      </c>
      <c r="AK65" s="2" t="s">
        <v>50</v>
      </c>
    </row>
    <row r="66" ht="15.75" customHeight="1">
      <c r="A66" s="2" t="s">
        <v>39</v>
      </c>
      <c r="B66" s="3" t="str">
        <f>HYPERLINK("https://www.senado.gob.ar/parlamentario/comisiones/verExp/2005.25/S/PL","2005")</f>
        <v>2005</v>
      </c>
      <c r="C66" s="3" t="str">
        <f>HYPERLINK("https://www.senado.gob.ar/parlamentario/comisiones/verExp/2005.25/S/PL","2025")</f>
        <v>2025</v>
      </c>
      <c r="D66" s="2" t="s">
        <v>56</v>
      </c>
      <c r="E66" s="2" t="s">
        <v>209</v>
      </c>
      <c r="F66" s="2" t="s">
        <v>198</v>
      </c>
      <c r="I66" s="2" t="s">
        <v>182</v>
      </c>
      <c r="K66" s="2" t="s">
        <v>44</v>
      </c>
      <c r="L66" s="2" t="s">
        <v>162</v>
      </c>
      <c r="N66" s="2" t="s">
        <v>75</v>
      </c>
      <c r="O66" s="2">
        <v>78.0</v>
      </c>
      <c r="P66" s="2" t="s">
        <v>73</v>
      </c>
      <c r="Q66" s="2" t="s">
        <v>172</v>
      </c>
      <c r="S66" s="2">
        <v>53.0</v>
      </c>
      <c r="T66" s="2" t="s">
        <v>76</v>
      </c>
      <c r="U66" s="2" t="s">
        <v>172</v>
      </c>
      <c r="AI66" s="2" t="str">
        <f t="shared" si="1"/>
        <v/>
      </c>
      <c r="AJ66" s="2" t="s">
        <v>49</v>
      </c>
      <c r="AK66" s="2" t="s">
        <v>50</v>
      </c>
    </row>
    <row r="67" ht="15.75" customHeight="1">
      <c r="A67" s="2" t="s">
        <v>39</v>
      </c>
      <c r="B67" s="3" t="str">
        <f>HYPERLINK("https://www.senado.gob.ar/parlamentario/comisiones/verExp/2004.25/S/PL","2004")</f>
        <v>2004</v>
      </c>
      <c r="C67" s="3" t="str">
        <f>HYPERLINK("https://www.senado.gob.ar/parlamentario/comisiones/verExp/2004.25/S/PL","2025")</f>
        <v>2025</v>
      </c>
      <c r="D67" s="2" t="s">
        <v>56</v>
      </c>
      <c r="E67" s="2" t="s">
        <v>210</v>
      </c>
      <c r="F67" s="2" t="s">
        <v>198</v>
      </c>
      <c r="I67" s="2" t="s">
        <v>211</v>
      </c>
      <c r="K67" s="2" t="s">
        <v>44</v>
      </c>
      <c r="L67" s="2" t="s">
        <v>162</v>
      </c>
      <c r="N67" s="2" t="s">
        <v>212</v>
      </c>
      <c r="O67" s="2">
        <v>54.0</v>
      </c>
      <c r="P67" s="2" t="s">
        <v>65</v>
      </c>
      <c r="Q67" s="2" t="s">
        <v>172</v>
      </c>
      <c r="S67" s="2">
        <v>67.0</v>
      </c>
      <c r="T67" s="2" t="s">
        <v>84</v>
      </c>
      <c r="U67" s="2" t="s">
        <v>172</v>
      </c>
      <c r="AI67" s="2" t="str">
        <f t="shared" si="1"/>
        <v/>
      </c>
      <c r="AJ67" s="2" t="s">
        <v>49</v>
      </c>
      <c r="AK67" s="2" t="s">
        <v>50</v>
      </c>
    </row>
    <row r="68" ht="15.75" customHeight="1">
      <c r="A68" s="2" t="s">
        <v>39</v>
      </c>
      <c r="B68" s="3" t="str">
        <f>HYPERLINK("https://www.senado.gob.ar/parlamentario/comisiones/verExp/2002.25/S/PL","2002")</f>
        <v>2002</v>
      </c>
      <c r="C68" s="3" t="str">
        <f>HYPERLINK("https://www.senado.gob.ar/parlamentario/comisiones/verExp/2002.25/S/PL","2025")</f>
        <v>2025</v>
      </c>
      <c r="D68" s="2" t="s">
        <v>56</v>
      </c>
      <c r="E68" s="2" t="s">
        <v>213</v>
      </c>
      <c r="F68" s="2" t="s">
        <v>198</v>
      </c>
      <c r="I68" s="2" t="s">
        <v>211</v>
      </c>
      <c r="K68" s="2" t="s">
        <v>44</v>
      </c>
      <c r="L68" s="2" t="s">
        <v>162</v>
      </c>
      <c r="N68" s="2" t="s">
        <v>214</v>
      </c>
      <c r="O68" s="2">
        <v>67.0</v>
      </c>
      <c r="P68" s="2" t="s">
        <v>84</v>
      </c>
      <c r="Q68" s="2" t="s">
        <v>172</v>
      </c>
      <c r="S68" s="2">
        <v>54.0</v>
      </c>
      <c r="T68" s="2" t="s">
        <v>65</v>
      </c>
      <c r="U68" s="2" t="s">
        <v>172</v>
      </c>
      <c r="AI68" s="2" t="str">
        <f t="shared" si="1"/>
        <v/>
      </c>
      <c r="AJ68" s="2" t="s">
        <v>49</v>
      </c>
      <c r="AK68" s="2" t="s">
        <v>50</v>
      </c>
    </row>
    <row r="69" ht="15.75" customHeight="1">
      <c r="A69" s="2" t="s">
        <v>39</v>
      </c>
      <c r="B69" s="3" t="str">
        <f>HYPERLINK("https://www.senado.gob.ar/parlamentario/comisiones/verExp/1998.25/S/PL","1998")</f>
        <v>1998</v>
      </c>
      <c r="C69" s="3" t="str">
        <f>HYPERLINK("https://www.senado.gob.ar/parlamentario/comisiones/verExp/1998.25/S/PL","2025")</f>
        <v>2025</v>
      </c>
      <c r="D69" s="2" t="s">
        <v>56</v>
      </c>
      <c r="E69" s="2" t="s">
        <v>215</v>
      </c>
      <c r="F69" s="2" t="s">
        <v>216</v>
      </c>
      <c r="I69" s="2" t="s">
        <v>211</v>
      </c>
      <c r="K69" s="2" t="s">
        <v>44</v>
      </c>
      <c r="L69" s="2" t="s">
        <v>162</v>
      </c>
      <c r="N69" s="2" t="s">
        <v>217</v>
      </c>
      <c r="O69" s="2">
        <v>69.0</v>
      </c>
      <c r="P69" s="2" t="s">
        <v>135</v>
      </c>
      <c r="Q69" s="2" t="s">
        <v>172</v>
      </c>
      <c r="S69" s="2">
        <v>52.0</v>
      </c>
      <c r="T69" s="2" t="s">
        <v>78</v>
      </c>
      <c r="U69" s="2" t="s">
        <v>172</v>
      </c>
      <c r="AI69" s="2" t="str">
        <f t="shared" si="1"/>
        <v/>
      </c>
      <c r="AJ69" s="2" t="s">
        <v>49</v>
      </c>
      <c r="AK69" s="2" t="s">
        <v>50</v>
      </c>
    </row>
    <row r="70" ht="15.75" customHeight="1">
      <c r="A70" s="2" t="s">
        <v>39</v>
      </c>
      <c r="B70" s="3" t="str">
        <f>HYPERLINK("https://www.senado.gob.ar/parlamentario/comisiones/verExp/1997.25/S/PL","1997")</f>
        <v>1997</v>
      </c>
      <c r="C70" s="3" t="str">
        <f>HYPERLINK("https://www.senado.gob.ar/parlamentario/comisiones/verExp/1997.25/S/PL","2025")</f>
        <v>2025</v>
      </c>
      <c r="D70" s="2" t="s">
        <v>56</v>
      </c>
      <c r="E70" s="2" t="s">
        <v>218</v>
      </c>
      <c r="F70" s="2" t="s">
        <v>216</v>
      </c>
      <c r="I70" s="2" t="s">
        <v>211</v>
      </c>
      <c r="K70" s="2" t="s">
        <v>44</v>
      </c>
      <c r="L70" s="2" t="s">
        <v>162</v>
      </c>
      <c r="N70" s="2" t="s">
        <v>217</v>
      </c>
      <c r="O70" s="2">
        <v>67.0</v>
      </c>
      <c r="P70" s="2" t="s">
        <v>84</v>
      </c>
      <c r="Q70" s="2" t="s">
        <v>172</v>
      </c>
      <c r="S70" s="2">
        <v>54.0</v>
      </c>
      <c r="T70" s="2" t="s">
        <v>65</v>
      </c>
      <c r="U70" s="2" t="s">
        <v>172</v>
      </c>
      <c r="AI70" s="2" t="str">
        <f t="shared" si="1"/>
        <v/>
      </c>
      <c r="AJ70" s="2" t="s">
        <v>49</v>
      </c>
      <c r="AK70" s="2" t="s">
        <v>50</v>
      </c>
    </row>
    <row r="71" ht="15.75" customHeight="1">
      <c r="A71" s="2" t="s">
        <v>39</v>
      </c>
      <c r="B71" s="3" t="str">
        <f>HYPERLINK("https://www.senado.gob.ar/parlamentario/comisiones/verExp/1996.25/S/PL","1996")</f>
        <v>1996</v>
      </c>
      <c r="C71" s="3" t="str">
        <f>HYPERLINK("https://www.senado.gob.ar/parlamentario/comisiones/verExp/1996.25/S/PL","2025")</f>
        <v>2025</v>
      </c>
      <c r="D71" s="2" t="s">
        <v>56</v>
      </c>
      <c r="E71" s="2" t="s">
        <v>219</v>
      </c>
      <c r="F71" s="2" t="s">
        <v>216</v>
      </c>
      <c r="I71" s="2" t="s">
        <v>211</v>
      </c>
      <c r="K71" s="2" t="s">
        <v>44</v>
      </c>
      <c r="L71" s="2" t="s">
        <v>162</v>
      </c>
      <c r="N71" s="2" t="s">
        <v>217</v>
      </c>
      <c r="O71" s="2">
        <v>59.0</v>
      </c>
      <c r="P71" s="2" t="s">
        <v>220</v>
      </c>
      <c r="Q71" s="2" t="s">
        <v>172</v>
      </c>
      <c r="S71" s="2">
        <v>67.0</v>
      </c>
      <c r="T71" s="2" t="s">
        <v>84</v>
      </c>
      <c r="U71" s="2" t="s">
        <v>172</v>
      </c>
      <c r="W71" s="2">
        <v>54.0</v>
      </c>
      <c r="X71" s="2" t="s">
        <v>65</v>
      </c>
      <c r="Y71" s="2" t="s">
        <v>172</v>
      </c>
      <c r="AI71" s="2" t="str">
        <f t="shared" si="1"/>
        <v/>
      </c>
      <c r="AJ71" s="2" t="s">
        <v>49</v>
      </c>
      <c r="AK71" s="2" t="s">
        <v>50</v>
      </c>
    </row>
    <row r="72" ht="15.75" customHeight="1">
      <c r="A72" s="2" t="s">
        <v>39</v>
      </c>
      <c r="B72" s="3" t="str">
        <f>HYPERLINK("https://www.senado.gob.ar/parlamentario/comisiones/verExp/1995.25/S/PL","1995")</f>
        <v>1995</v>
      </c>
      <c r="C72" s="3" t="str">
        <f>HYPERLINK("https://www.senado.gob.ar/parlamentario/comisiones/verExp/1995.25/S/PL","2025")</f>
        <v>2025</v>
      </c>
      <c r="D72" s="2" t="s">
        <v>56</v>
      </c>
      <c r="E72" s="2" t="s">
        <v>221</v>
      </c>
      <c r="F72" s="2" t="s">
        <v>216</v>
      </c>
      <c r="I72" s="2" t="s">
        <v>211</v>
      </c>
      <c r="K72" s="2" t="s">
        <v>44</v>
      </c>
      <c r="L72" s="2" t="s">
        <v>162</v>
      </c>
      <c r="N72" s="2" t="s">
        <v>217</v>
      </c>
      <c r="O72" s="2">
        <v>75.0</v>
      </c>
      <c r="P72" s="2" t="s">
        <v>71</v>
      </c>
      <c r="Q72" s="2" t="s">
        <v>172</v>
      </c>
      <c r="S72" s="2">
        <v>69.0</v>
      </c>
      <c r="T72" s="2" t="s">
        <v>135</v>
      </c>
      <c r="U72" s="2" t="s">
        <v>172</v>
      </c>
      <c r="AI72" s="2" t="str">
        <f t="shared" si="1"/>
        <v/>
      </c>
      <c r="AJ72" s="2" t="s">
        <v>49</v>
      </c>
      <c r="AK72" s="2" t="s">
        <v>50</v>
      </c>
    </row>
    <row r="73" ht="15.75" customHeight="1">
      <c r="A73" s="2" t="s">
        <v>39</v>
      </c>
      <c r="B73" s="3" t="str">
        <f>HYPERLINK("https://www.senado.gob.ar/parlamentario/comisiones/verExp/1994.25/S/PL","1994")</f>
        <v>1994</v>
      </c>
      <c r="C73" s="3" t="str">
        <f>HYPERLINK("https://www.senado.gob.ar/parlamentario/comisiones/verExp/1994.25/S/PL","2025")</f>
        <v>2025</v>
      </c>
      <c r="D73" s="2" t="s">
        <v>56</v>
      </c>
      <c r="E73" s="2" t="s">
        <v>222</v>
      </c>
      <c r="F73" s="2" t="s">
        <v>216</v>
      </c>
      <c r="I73" s="2" t="s">
        <v>211</v>
      </c>
      <c r="K73" s="2" t="s">
        <v>44</v>
      </c>
      <c r="L73" s="2" t="s">
        <v>162</v>
      </c>
      <c r="N73" s="2" t="s">
        <v>223</v>
      </c>
      <c r="O73" s="2">
        <v>52.0</v>
      </c>
      <c r="P73" s="2" t="s">
        <v>78</v>
      </c>
      <c r="Q73" s="2" t="s">
        <v>172</v>
      </c>
      <c r="AI73" s="2" t="str">
        <f t="shared" si="1"/>
        <v/>
      </c>
      <c r="AJ73" s="2" t="s">
        <v>49</v>
      </c>
      <c r="AK73" s="2" t="s">
        <v>50</v>
      </c>
    </row>
    <row r="74" ht="15.75" customHeight="1">
      <c r="A74" s="2" t="s">
        <v>39</v>
      </c>
      <c r="B74" s="3" t="str">
        <f>HYPERLINK("https://www.senado.gob.ar/parlamentario/comisiones/verExp/1982.25/S/PR","1982")</f>
        <v>1982</v>
      </c>
      <c r="C74" s="3" t="str">
        <f>HYPERLINK("https://www.senado.gob.ar/parlamentario/comisiones/verExp/1982.25/S/PR","2025")</f>
        <v>2025</v>
      </c>
      <c r="D74" s="2" t="s">
        <v>145</v>
      </c>
      <c r="E74" s="2" t="s">
        <v>224</v>
      </c>
      <c r="F74" s="2" t="s">
        <v>216</v>
      </c>
      <c r="I74" s="2" t="s">
        <v>225</v>
      </c>
      <c r="K74" s="2" t="s">
        <v>44</v>
      </c>
      <c r="L74" s="2" t="s">
        <v>162</v>
      </c>
      <c r="N74" s="2" t="s">
        <v>226</v>
      </c>
      <c r="O74" s="2">
        <v>69.0</v>
      </c>
      <c r="P74" s="2" t="s">
        <v>135</v>
      </c>
      <c r="Q74" s="2" t="s">
        <v>172</v>
      </c>
      <c r="AI74" s="2" t="str">
        <f t="shared" si="1"/>
        <v/>
      </c>
      <c r="AJ74" s="2" t="s">
        <v>49</v>
      </c>
      <c r="AK74" s="2" t="s">
        <v>50</v>
      </c>
    </row>
    <row r="75" ht="15.75" customHeight="1">
      <c r="A75" s="2" t="s">
        <v>39</v>
      </c>
      <c r="B75" s="3" t="str">
        <f>HYPERLINK("https://www.senado.gob.ar/parlamentario/comisiones/verExp/1981.25/S/PL","1981")</f>
        <v>1981</v>
      </c>
      <c r="C75" s="3" t="str">
        <f>HYPERLINK("https://www.senado.gob.ar/parlamentario/comisiones/verExp/1981.25/S/PL","2025")</f>
        <v>2025</v>
      </c>
      <c r="D75" s="2" t="s">
        <v>56</v>
      </c>
      <c r="E75" s="2" t="s">
        <v>227</v>
      </c>
      <c r="F75" s="2" t="s">
        <v>216</v>
      </c>
      <c r="I75" s="2" t="s">
        <v>225</v>
      </c>
      <c r="K75" s="2" t="s">
        <v>44</v>
      </c>
      <c r="L75" s="2" t="s">
        <v>162</v>
      </c>
      <c r="N75" s="2" t="s">
        <v>226</v>
      </c>
      <c r="O75" s="2">
        <v>54.0</v>
      </c>
      <c r="P75" s="2" t="s">
        <v>65</v>
      </c>
      <c r="Q75" s="2" t="s">
        <v>172</v>
      </c>
      <c r="S75" s="2">
        <v>60.0</v>
      </c>
      <c r="T75" s="2" t="s">
        <v>64</v>
      </c>
      <c r="U75" s="2" t="s">
        <v>172</v>
      </c>
      <c r="W75" s="2">
        <v>65.0</v>
      </c>
      <c r="X75" s="2" t="s">
        <v>153</v>
      </c>
      <c r="Y75" s="2" t="s">
        <v>172</v>
      </c>
      <c r="AI75" s="2" t="str">
        <f t="shared" si="1"/>
        <v/>
      </c>
      <c r="AJ75" s="2" t="s">
        <v>49</v>
      </c>
      <c r="AK75" s="2" t="s">
        <v>50</v>
      </c>
    </row>
    <row r="76" ht="15.75" customHeight="1">
      <c r="A76" s="2" t="s">
        <v>39</v>
      </c>
      <c r="B76" s="3" t="str">
        <f>HYPERLINK("https://www.senado.gob.ar/parlamentario/comisiones/verExp/1980.25/S/PL","1980")</f>
        <v>1980</v>
      </c>
      <c r="C76" s="3" t="str">
        <f>HYPERLINK("https://www.senado.gob.ar/parlamentario/comisiones/verExp/1980.25/S/PL","2025")</f>
        <v>2025</v>
      </c>
      <c r="D76" s="2" t="s">
        <v>56</v>
      </c>
      <c r="E76" s="2" t="s">
        <v>228</v>
      </c>
      <c r="F76" s="2" t="s">
        <v>229</v>
      </c>
      <c r="I76" s="2" t="s">
        <v>225</v>
      </c>
      <c r="K76" s="2" t="s">
        <v>44</v>
      </c>
      <c r="L76" s="2" t="s">
        <v>162</v>
      </c>
      <c r="N76" s="2" t="s">
        <v>230</v>
      </c>
      <c r="O76" s="2">
        <v>51.0</v>
      </c>
      <c r="P76" s="2" t="s">
        <v>62</v>
      </c>
      <c r="Q76" s="2" t="s">
        <v>172</v>
      </c>
      <c r="AI76" s="2" t="str">
        <f t="shared" si="1"/>
        <v/>
      </c>
      <c r="AJ76" s="2" t="s">
        <v>49</v>
      </c>
      <c r="AK76" s="2" t="s">
        <v>50</v>
      </c>
    </row>
    <row r="77" ht="15.75" customHeight="1">
      <c r="A77" s="2" t="s">
        <v>39</v>
      </c>
      <c r="B77" s="3" t="str">
        <f>HYPERLINK("https://www.senado.gob.ar/parlamentario/comisiones/verExp/1978.25/S/PL","1978")</f>
        <v>1978</v>
      </c>
      <c r="C77" s="3" t="str">
        <f>HYPERLINK("https://www.senado.gob.ar/parlamentario/comisiones/verExp/1978.25/S/PL","2025")</f>
        <v>2025</v>
      </c>
      <c r="D77" s="2" t="s">
        <v>56</v>
      </c>
      <c r="E77" s="2" t="s">
        <v>231</v>
      </c>
      <c r="F77" s="2" t="s">
        <v>229</v>
      </c>
      <c r="I77" s="2" t="s">
        <v>225</v>
      </c>
      <c r="K77" s="2" t="s">
        <v>44</v>
      </c>
      <c r="L77" s="2" t="s">
        <v>162</v>
      </c>
      <c r="N77" s="2" t="s">
        <v>232</v>
      </c>
      <c r="O77" s="2">
        <v>78.0</v>
      </c>
      <c r="P77" s="2" t="s">
        <v>73</v>
      </c>
      <c r="Q77" s="2" t="s">
        <v>172</v>
      </c>
      <c r="S77" s="2">
        <v>53.0</v>
      </c>
      <c r="T77" s="2" t="s">
        <v>76</v>
      </c>
      <c r="U77" s="2" t="s">
        <v>172</v>
      </c>
      <c r="W77" s="2">
        <v>61.0</v>
      </c>
      <c r="X77" s="2" t="s">
        <v>104</v>
      </c>
      <c r="Y77" s="2" t="s">
        <v>172</v>
      </c>
      <c r="AA77" s="2">
        <v>76.0</v>
      </c>
      <c r="AB77" s="2" t="s">
        <v>233</v>
      </c>
      <c r="AC77" s="2" t="s">
        <v>172</v>
      </c>
      <c r="AI77" s="2" t="str">
        <f t="shared" si="1"/>
        <v/>
      </c>
      <c r="AJ77" s="2" t="s">
        <v>49</v>
      </c>
      <c r="AK77" s="2" t="s">
        <v>50</v>
      </c>
    </row>
    <row r="78" ht="15.75" customHeight="1">
      <c r="A78" s="2" t="s">
        <v>39</v>
      </c>
      <c r="B78" s="3" t="str">
        <f>HYPERLINK("https://www.senado.gob.ar/parlamentario/comisiones/verExp/1972.25/S/PL","1972")</f>
        <v>1972</v>
      </c>
      <c r="C78" s="3" t="str">
        <f>HYPERLINK("https://www.senado.gob.ar/parlamentario/comisiones/verExp/1972.25/S/PL","2025")</f>
        <v>2025</v>
      </c>
      <c r="D78" s="2" t="s">
        <v>56</v>
      </c>
      <c r="E78" s="2" t="s">
        <v>234</v>
      </c>
      <c r="F78" s="2" t="s">
        <v>229</v>
      </c>
      <c r="I78" s="2" t="s">
        <v>235</v>
      </c>
      <c r="K78" s="2" t="s">
        <v>44</v>
      </c>
      <c r="L78" s="2" t="s">
        <v>162</v>
      </c>
      <c r="N78" s="2" t="s">
        <v>160</v>
      </c>
      <c r="O78" s="2">
        <v>75.0</v>
      </c>
      <c r="P78" s="2" t="s">
        <v>71</v>
      </c>
      <c r="Q78" s="2" t="s">
        <v>172</v>
      </c>
      <c r="AI78" s="2" t="str">
        <f t="shared" si="1"/>
        <v/>
      </c>
      <c r="AJ78" s="2" t="s">
        <v>49</v>
      </c>
      <c r="AK78" s="2" t="s">
        <v>50</v>
      </c>
    </row>
    <row r="79" ht="15.75" customHeight="1">
      <c r="A79" s="2" t="s">
        <v>39</v>
      </c>
      <c r="B79" s="3" t="str">
        <f>HYPERLINK("https://www.senado.gob.ar/parlamentario/comisiones/verExp/1971.25/S/PL","1971")</f>
        <v>1971</v>
      </c>
      <c r="C79" s="3" t="str">
        <f>HYPERLINK("https://www.senado.gob.ar/parlamentario/comisiones/verExp/1971.25/S/PL","2025")</f>
        <v>2025</v>
      </c>
      <c r="D79" s="2" t="s">
        <v>56</v>
      </c>
      <c r="E79" s="2" t="s">
        <v>236</v>
      </c>
      <c r="F79" s="2" t="s">
        <v>229</v>
      </c>
      <c r="I79" s="2" t="s">
        <v>235</v>
      </c>
      <c r="K79" s="2" t="s">
        <v>44</v>
      </c>
      <c r="L79" s="2" t="s">
        <v>162</v>
      </c>
      <c r="N79" s="2" t="s">
        <v>160</v>
      </c>
      <c r="O79" s="2">
        <v>67.0</v>
      </c>
      <c r="P79" s="2" t="s">
        <v>84</v>
      </c>
      <c r="Q79" s="2" t="s">
        <v>172</v>
      </c>
      <c r="S79" s="2">
        <v>61.0</v>
      </c>
      <c r="T79" s="2" t="s">
        <v>104</v>
      </c>
      <c r="U79" s="2" t="s">
        <v>172</v>
      </c>
      <c r="W79" s="2">
        <v>73.0</v>
      </c>
      <c r="X79" s="2" t="s">
        <v>237</v>
      </c>
      <c r="Y79" s="2" t="s">
        <v>172</v>
      </c>
      <c r="AI79" s="2" t="str">
        <f t="shared" si="1"/>
        <v/>
      </c>
      <c r="AJ79" s="2" t="s">
        <v>49</v>
      </c>
      <c r="AK79" s="2" t="s">
        <v>50</v>
      </c>
    </row>
    <row r="80" ht="15.75" customHeight="1">
      <c r="A80" s="2" t="s">
        <v>39</v>
      </c>
      <c r="B80" s="3" t="str">
        <f>HYPERLINK("https://www.senado.gob.ar/parlamentario/comisiones/verExp/1970.25/S/PL","1970")</f>
        <v>1970</v>
      </c>
      <c r="C80" s="3" t="str">
        <f>HYPERLINK("https://www.senado.gob.ar/parlamentario/comisiones/verExp/1970.25/S/PL","2025")</f>
        <v>2025</v>
      </c>
      <c r="D80" s="2" t="s">
        <v>56</v>
      </c>
      <c r="E80" s="2" t="s">
        <v>238</v>
      </c>
      <c r="F80" s="2" t="s">
        <v>229</v>
      </c>
      <c r="I80" s="2" t="s">
        <v>235</v>
      </c>
      <c r="K80" s="2" t="s">
        <v>44</v>
      </c>
      <c r="L80" s="2" t="s">
        <v>162</v>
      </c>
      <c r="N80" s="2" t="s">
        <v>160</v>
      </c>
      <c r="O80" s="2">
        <v>67.0</v>
      </c>
      <c r="P80" s="2" t="s">
        <v>84</v>
      </c>
      <c r="Q80" s="2" t="s">
        <v>172</v>
      </c>
      <c r="S80" s="2">
        <v>52.0</v>
      </c>
      <c r="T80" s="2" t="s">
        <v>78</v>
      </c>
      <c r="U80" s="2" t="s">
        <v>172</v>
      </c>
      <c r="AI80" s="2" t="str">
        <f t="shared" si="1"/>
        <v/>
      </c>
      <c r="AJ80" s="2" t="s">
        <v>49</v>
      </c>
      <c r="AK80" s="2" t="s">
        <v>50</v>
      </c>
    </row>
    <row r="81" ht="15.75" customHeight="1">
      <c r="A81" s="2" t="s">
        <v>39</v>
      </c>
      <c r="B81" s="3" t="str">
        <f>HYPERLINK("https://www.senado.gob.ar/parlamentario/comisiones/verExp/1969.25/S/PL","1969")</f>
        <v>1969</v>
      </c>
      <c r="C81" s="3" t="str">
        <f>HYPERLINK("https://www.senado.gob.ar/parlamentario/comisiones/verExp/1969.25/S/PL","2025")</f>
        <v>2025</v>
      </c>
      <c r="D81" s="2" t="s">
        <v>56</v>
      </c>
      <c r="E81" s="2" t="s">
        <v>239</v>
      </c>
      <c r="F81" s="2" t="s">
        <v>229</v>
      </c>
      <c r="I81" s="2" t="s">
        <v>235</v>
      </c>
      <c r="K81" s="2" t="s">
        <v>44</v>
      </c>
      <c r="L81" s="2" t="s">
        <v>162</v>
      </c>
      <c r="N81" s="2" t="s">
        <v>160</v>
      </c>
      <c r="O81" s="2">
        <v>78.0</v>
      </c>
      <c r="P81" s="2" t="s">
        <v>73</v>
      </c>
      <c r="Q81" s="2" t="s">
        <v>172</v>
      </c>
      <c r="AI81" s="2" t="str">
        <f t="shared" si="1"/>
        <v/>
      </c>
      <c r="AJ81" s="2" t="s">
        <v>49</v>
      </c>
      <c r="AK81" s="2" t="s">
        <v>50</v>
      </c>
    </row>
    <row r="82" ht="15.75" customHeight="1">
      <c r="A82" s="2" t="s">
        <v>39</v>
      </c>
      <c r="B82" s="3" t="str">
        <f>HYPERLINK("https://www.senado.gob.ar/parlamentario/comisiones/verExp/1968.25/S/PL","1968")</f>
        <v>1968</v>
      </c>
      <c r="C82" s="3" t="str">
        <f>HYPERLINK("https://www.senado.gob.ar/parlamentario/comisiones/verExp/1968.25/S/PL","2025")</f>
        <v>2025</v>
      </c>
      <c r="D82" s="2" t="s">
        <v>56</v>
      </c>
      <c r="E82" s="2" t="s">
        <v>240</v>
      </c>
      <c r="F82" s="2" t="s">
        <v>229</v>
      </c>
      <c r="I82" s="2" t="s">
        <v>235</v>
      </c>
      <c r="K82" s="2" t="s">
        <v>44</v>
      </c>
      <c r="L82" s="2" t="s">
        <v>162</v>
      </c>
      <c r="N82" s="2" t="s">
        <v>160</v>
      </c>
      <c r="O82" s="2">
        <v>75.0</v>
      </c>
      <c r="P82" s="2" t="s">
        <v>71</v>
      </c>
      <c r="Q82" s="2" t="s">
        <v>172</v>
      </c>
      <c r="AI82" s="2" t="str">
        <f t="shared" si="1"/>
        <v/>
      </c>
      <c r="AJ82" s="2" t="s">
        <v>49</v>
      </c>
      <c r="AK82" s="2" t="s">
        <v>50</v>
      </c>
    </row>
    <row r="83" ht="15.75" customHeight="1">
      <c r="A83" s="2" t="s">
        <v>39</v>
      </c>
      <c r="B83" s="3" t="str">
        <f>HYPERLINK("https://www.senado.gob.ar/parlamentario/comisiones/verExp/1966.25/S/PL","1966")</f>
        <v>1966</v>
      </c>
      <c r="C83" s="3" t="str">
        <f>HYPERLINK("https://www.senado.gob.ar/parlamentario/comisiones/verExp/1966.25/S/PL","2025")</f>
        <v>2025</v>
      </c>
      <c r="D83" s="2" t="s">
        <v>56</v>
      </c>
      <c r="E83" s="2" t="s">
        <v>241</v>
      </c>
      <c r="F83" s="2" t="s">
        <v>229</v>
      </c>
      <c r="I83" s="2" t="s">
        <v>235</v>
      </c>
      <c r="K83" s="2" t="s">
        <v>44</v>
      </c>
      <c r="L83" s="2" t="s">
        <v>162</v>
      </c>
      <c r="N83" s="2" t="s">
        <v>242</v>
      </c>
      <c r="O83" s="2">
        <v>54.0</v>
      </c>
      <c r="P83" s="2" t="s">
        <v>65</v>
      </c>
      <c r="Q83" s="2" t="s">
        <v>172</v>
      </c>
      <c r="S83" s="2">
        <v>72.0</v>
      </c>
      <c r="T83" s="2" t="s">
        <v>243</v>
      </c>
      <c r="U83" s="2" t="s">
        <v>172</v>
      </c>
      <c r="AI83" s="2" t="str">
        <f t="shared" si="1"/>
        <v/>
      </c>
      <c r="AJ83" s="2" t="s">
        <v>49</v>
      </c>
      <c r="AK83" s="2" t="s">
        <v>50</v>
      </c>
    </row>
    <row r="84" ht="15.75" customHeight="1">
      <c r="A84" s="2" t="s">
        <v>39</v>
      </c>
      <c r="B84" s="3" t="str">
        <f>HYPERLINK("https://www.senado.gob.ar/parlamentario/comisiones/verExp/1960.25/S/PL","1960")</f>
        <v>1960</v>
      </c>
      <c r="C84" s="3" t="str">
        <f>HYPERLINK("https://www.senado.gob.ar/parlamentario/comisiones/verExp/1960.25/S/PL","2025")</f>
        <v>2025</v>
      </c>
      <c r="D84" s="2" t="s">
        <v>56</v>
      </c>
      <c r="E84" s="2" t="s">
        <v>244</v>
      </c>
      <c r="F84" s="2" t="s">
        <v>229</v>
      </c>
      <c r="I84" s="2" t="s">
        <v>245</v>
      </c>
      <c r="K84" s="2" t="s">
        <v>44</v>
      </c>
      <c r="L84" s="2" t="s">
        <v>162</v>
      </c>
      <c r="N84" s="2" t="s">
        <v>246</v>
      </c>
      <c r="O84" s="2">
        <v>61.0</v>
      </c>
      <c r="P84" s="2" t="s">
        <v>104</v>
      </c>
      <c r="Q84" s="2" t="s">
        <v>172</v>
      </c>
      <c r="AI84" s="2" t="str">
        <f t="shared" si="1"/>
        <v/>
      </c>
      <c r="AJ84" s="2" t="s">
        <v>49</v>
      </c>
      <c r="AK84" s="2" t="s">
        <v>50</v>
      </c>
    </row>
    <row r="85" ht="15.75" customHeight="1">
      <c r="A85" s="2" t="s">
        <v>39</v>
      </c>
      <c r="B85" s="3" t="str">
        <f>HYPERLINK("https://www.senado.gob.ar/parlamentario/comisiones/verExp/1959.25/S/PL","1959")</f>
        <v>1959</v>
      </c>
      <c r="C85" s="3" t="str">
        <f>HYPERLINK("https://www.senado.gob.ar/parlamentario/comisiones/verExp/1959.25/S/PL","2025")</f>
        <v>2025</v>
      </c>
      <c r="D85" s="2" t="s">
        <v>56</v>
      </c>
      <c r="E85" s="2" t="s">
        <v>247</v>
      </c>
      <c r="F85" s="2" t="s">
        <v>229</v>
      </c>
      <c r="I85" s="2" t="s">
        <v>248</v>
      </c>
      <c r="K85" s="2" t="s">
        <v>44</v>
      </c>
      <c r="L85" s="2" t="s">
        <v>162</v>
      </c>
      <c r="N85" s="2" t="s">
        <v>249</v>
      </c>
      <c r="O85" s="2">
        <v>75.0</v>
      </c>
      <c r="P85" s="2" t="s">
        <v>71</v>
      </c>
      <c r="Q85" s="2" t="s">
        <v>172</v>
      </c>
      <c r="S85" s="2">
        <v>68.0</v>
      </c>
      <c r="T85" s="2" t="s">
        <v>180</v>
      </c>
      <c r="U85" s="2" t="s">
        <v>172</v>
      </c>
      <c r="W85" s="2">
        <v>54.0</v>
      </c>
      <c r="X85" s="2" t="s">
        <v>65</v>
      </c>
      <c r="Y85" s="2" t="s">
        <v>172</v>
      </c>
      <c r="AI85" s="2" t="str">
        <f t="shared" si="1"/>
        <v/>
      </c>
      <c r="AJ85" s="2" t="s">
        <v>49</v>
      </c>
      <c r="AK85" s="2" t="s">
        <v>50</v>
      </c>
    </row>
    <row r="86" ht="15.75" customHeight="1">
      <c r="A86" s="2" t="s">
        <v>39</v>
      </c>
      <c r="B86" s="3" t="str">
        <f>HYPERLINK("https://www.senado.gob.ar/parlamentario/comisiones/verExp/1958.25/S/PL","1958")</f>
        <v>1958</v>
      </c>
      <c r="C86" s="3" t="str">
        <f>HYPERLINK("https://www.senado.gob.ar/parlamentario/comisiones/verExp/1958.25/S/PL","2025")</f>
        <v>2025</v>
      </c>
      <c r="D86" s="2" t="s">
        <v>56</v>
      </c>
      <c r="E86" s="2" t="s">
        <v>250</v>
      </c>
      <c r="F86" s="2" t="s">
        <v>251</v>
      </c>
      <c r="I86" s="2" t="s">
        <v>248</v>
      </c>
      <c r="K86" s="2" t="s">
        <v>44</v>
      </c>
      <c r="L86" s="2" t="s">
        <v>162</v>
      </c>
      <c r="N86" s="2" t="s">
        <v>252</v>
      </c>
      <c r="O86" s="2">
        <v>75.0</v>
      </c>
      <c r="P86" s="2" t="s">
        <v>71</v>
      </c>
      <c r="Q86" s="2" t="s">
        <v>172</v>
      </c>
      <c r="S86" s="2">
        <v>53.0</v>
      </c>
      <c r="T86" s="2" t="s">
        <v>76</v>
      </c>
      <c r="U86" s="2" t="s">
        <v>172</v>
      </c>
      <c r="W86" s="2">
        <v>54.0</v>
      </c>
      <c r="X86" s="2" t="s">
        <v>65</v>
      </c>
      <c r="Y86" s="2" t="s">
        <v>172</v>
      </c>
      <c r="AI86" s="2" t="str">
        <f t="shared" si="1"/>
        <v/>
      </c>
      <c r="AJ86" s="2" t="s">
        <v>49</v>
      </c>
      <c r="AK86" s="2" t="s">
        <v>50</v>
      </c>
    </row>
    <row r="87" ht="15.75" customHeight="1">
      <c r="A87" s="2" t="s">
        <v>39</v>
      </c>
      <c r="B87" s="3" t="str">
        <f>HYPERLINK("https://www.senado.gob.ar/parlamentario/comisiones/verExp/1952.25/S/PL","1952")</f>
        <v>1952</v>
      </c>
      <c r="C87" s="3" t="str">
        <f>HYPERLINK("https://www.senado.gob.ar/parlamentario/comisiones/verExp/1952.25/S/PL","2025")</f>
        <v>2025</v>
      </c>
      <c r="D87" s="2" t="s">
        <v>56</v>
      </c>
      <c r="E87" s="2" t="s">
        <v>253</v>
      </c>
      <c r="F87" s="2" t="s">
        <v>251</v>
      </c>
      <c r="I87" s="2" t="s">
        <v>254</v>
      </c>
      <c r="K87" s="2" t="s">
        <v>44</v>
      </c>
      <c r="L87" s="2" t="s">
        <v>162</v>
      </c>
      <c r="N87" s="2" t="s">
        <v>249</v>
      </c>
      <c r="O87" s="2">
        <v>52.0</v>
      </c>
      <c r="P87" s="2" t="s">
        <v>78</v>
      </c>
      <c r="Q87" s="2" t="s">
        <v>172</v>
      </c>
      <c r="AI87" s="2" t="str">
        <f t="shared" si="1"/>
        <v/>
      </c>
      <c r="AJ87" s="2" t="s">
        <v>49</v>
      </c>
      <c r="AK87" s="2" t="s">
        <v>50</v>
      </c>
    </row>
    <row r="88" ht="15.75" customHeight="1">
      <c r="A88" s="2" t="s">
        <v>39</v>
      </c>
      <c r="B88" s="3" t="str">
        <f>HYPERLINK("https://www.senado.gob.ar/parlamentario/comisiones/verExp/1951.25/S/PL","1951")</f>
        <v>1951</v>
      </c>
      <c r="C88" s="3" t="str">
        <f>HYPERLINK("https://www.senado.gob.ar/parlamentario/comisiones/verExp/1951.25/S/PL","2025")</f>
        <v>2025</v>
      </c>
      <c r="D88" s="2" t="s">
        <v>56</v>
      </c>
      <c r="E88" s="2" t="s">
        <v>255</v>
      </c>
      <c r="F88" s="2" t="s">
        <v>251</v>
      </c>
      <c r="I88" s="2" t="s">
        <v>254</v>
      </c>
      <c r="K88" s="2" t="s">
        <v>44</v>
      </c>
      <c r="L88" s="2" t="s">
        <v>162</v>
      </c>
      <c r="N88" s="2" t="s">
        <v>232</v>
      </c>
      <c r="O88" s="2">
        <v>74.0</v>
      </c>
      <c r="P88" s="2" t="s">
        <v>256</v>
      </c>
      <c r="Q88" s="2" t="s">
        <v>172</v>
      </c>
      <c r="S88" s="2">
        <v>54.0</v>
      </c>
      <c r="T88" s="2" t="s">
        <v>65</v>
      </c>
      <c r="U88" s="2" t="s">
        <v>172</v>
      </c>
      <c r="W88" s="2">
        <v>59.0</v>
      </c>
      <c r="X88" s="2" t="s">
        <v>220</v>
      </c>
      <c r="Y88" s="2" t="s">
        <v>172</v>
      </c>
      <c r="AI88" s="2" t="str">
        <f t="shared" si="1"/>
        <v/>
      </c>
      <c r="AJ88" s="2" t="s">
        <v>49</v>
      </c>
      <c r="AK88" s="2" t="s">
        <v>50</v>
      </c>
    </row>
    <row r="89" ht="15.75" customHeight="1">
      <c r="A89" s="2" t="s">
        <v>39</v>
      </c>
      <c r="B89" s="3" t="str">
        <f>HYPERLINK("https://www.senado.gob.ar/parlamentario/comisiones/verExp/1950.25/S/PR","1950")</f>
        <v>1950</v>
      </c>
      <c r="C89" s="3" t="str">
        <f>HYPERLINK("https://www.senado.gob.ar/parlamentario/comisiones/verExp/1950.25/S/PR","2025")</f>
        <v>2025</v>
      </c>
      <c r="D89" s="2" t="s">
        <v>145</v>
      </c>
      <c r="E89" s="2" t="s">
        <v>257</v>
      </c>
      <c r="F89" s="2" t="s">
        <v>251</v>
      </c>
      <c r="I89" s="2" t="s">
        <v>258</v>
      </c>
      <c r="K89" s="2" t="s">
        <v>44</v>
      </c>
      <c r="L89" s="2" t="s">
        <v>162</v>
      </c>
      <c r="N89" s="2" t="s">
        <v>259</v>
      </c>
      <c r="O89" s="2">
        <v>50.0</v>
      </c>
      <c r="P89" s="2" t="s">
        <v>47</v>
      </c>
      <c r="Q89" s="2" t="s">
        <v>172</v>
      </c>
      <c r="S89" s="2">
        <v>54.0</v>
      </c>
      <c r="T89" s="2" t="s">
        <v>65</v>
      </c>
      <c r="U89" s="2" t="s">
        <v>172</v>
      </c>
      <c r="AI89" s="2" t="str">
        <f t="shared" si="1"/>
        <v/>
      </c>
      <c r="AJ89" s="2" t="s">
        <v>49</v>
      </c>
      <c r="AK89" s="2" t="s">
        <v>50</v>
      </c>
    </row>
    <row r="90" ht="15.75" customHeight="1">
      <c r="A90" s="2" t="s">
        <v>39</v>
      </c>
      <c r="B90" s="3" t="str">
        <f>HYPERLINK("https://www.senado.gob.ar/parlamentario/comisiones/verExp/1949.25/S/PL","1949")</f>
        <v>1949</v>
      </c>
      <c r="C90" s="3" t="str">
        <f>HYPERLINK("https://www.senado.gob.ar/parlamentario/comisiones/verExp/1949.25/S/PL","2025")</f>
        <v>2025</v>
      </c>
      <c r="D90" s="2" t="s">
        <v>56</v>
      </c>
      <c r="E90" s="2" t="s">
        <v>260</v>
      </c>
      <c r="F90" s="2" t="s">
        <v>251</v>
      </c>
      <c r="I90" s="2" t="s">
        <v>258</v>
      </c>
      <c r="K90" s="2" t="s">
        <v>44</v>
      </c>
      <c r="L90" s="2" t="s">
        <v>162</v>
      </c>
      <c r="N90" s="2" t="s">
        <v>261</v>
      </c>
      <c r="O90" s="2">
        <v>56.0</v>
      </c>
      <c r="P90" s="2" t="s">
        <v>262</v>
      </c>
      <c r="Q90" s="2" t="s">
        <v>172</v>
      </c>
      <c r="S90" s="2">
        <v>54.0</v>
      </c>
      <c r="T90" s="2" t="s">
        <v>65</v>
      </c>
      <c r="U90" s="2" t="s">
        <v>172</v>
      </c>
      <c r="AI90" s="2" t="str">
        <f t="shared" si="1"/>
        <v/>
      </c>
      <c r="AJ90" s="2" t="s">
        <v>49</v>
      </c>
      <c r="AK90" s="2" t="s">
        <v>50</v>
      </c>
    </row>
    <row r="91" ht="15.75" customHeight="1">
      <c r="A91" s="2" t="s">
        <v>39</v>
      </c>
      <c r="B91" s="3" t="str">
        <f>HYPERLINK("https://www.senado.gob.ar/parlamentario/comisiones/verExp/1948.25/S/PL","1948")</f>
        <v>1948</v>
      </c>
      <c r="C91" s="3" t="str">
        <f>HYPERLINK("https://www.senado.gob.ar/parlamentario/comisiones/verExp/1948.25/S/PL","2025")</f>
        <v>2025</v>
      </c>
      <c r="D91" s="2" t="s">
        <v>56</v>
      </c>
      <c r="E91" s="2" t="s">
        <v>263</v>
      </c>
      <c r="F91" s="2" t="s">
        <v>251</v>
      </c>
      <c r="I91" s="2" t="s">
        <v>258</v>
      </c>
      <c r="K91" s="2" t="s">
        <v>44</v>
      </c>
      <c r="L91" s="2" t="s">
        <v>162</v>
      </c>
      <c r="N91" s="2" t="s">
        <v>160</v>
      </c>
      <c r="O91" s="2">
        <v>51.0</v>
      </c>
      <c r="P91" s="2" t="s">
        <v>62</v>
      </c>
      <c r="Q91" s="2" t="s">
        <v>172</v>
      </c>
      <c r="S91" s="2">
        <v>61.0</v>
      </c>
      <c r="T91" s="2" t="s">
        <v>104</v>
      </c>
      <c r="U91" s="2" t="s">
        <v>172</v>
      </c>
      <c r="AI91" s="2" t="str">
        <f t="shared" si="1"/>
        <v/>
      </c>
      <c r="AJ91" s="2" t="s">
        <v>49</v>
      </c>
      <c r="AK91" s="2" t="s">
        <v>50</v>
      </c>
    </row>
    <row r="92" ht="15.75" customHeight="1">
      <c r="A92" s="2" t="s">
        <v>39</v>
      </c>
      <c r="B92" s="3" t="str">
        <f>HYPERLINK("https://www.senado.gob.ar/parlamentario/comisiones/verExp/1947.25/S/PL","1947")</f>
        <v>1947</v>
      </c>
      <c r="C92" s="3" t="str">
        <f>HYPERLINK("https://www.senado.gob.ar/parlamentario/comisiones/verExp/1947.25/S/PL","2025")</f>
        <v>2025</v>
      </c>
      <c r="D92" s="2" t="s">
        <v>56</v>
      </c>
      <c r="E92" s="2" t="s">
        <v>264</v>
      </c>
      <c r="F92" s="2" t="s">
        <v>251</v>
      </c>
      <c r="I92" s="2" t="s">
        <v>258</v>
      </c>
      <c r="K92" s="2" t="s">
        <v>44</v>
      </c>
      <c r="L92" s="2" t="s">
        <v>162</v>
      </c>
      <c r="N92" s="2" t="s">
        <v>160</v>
      </c>
      <c r="O92" s="2">
        <v>64.0</v>
      </c>
      <c r="P92" s="2" t="s">
        <v>186</v>
      </c>
      <c r="Q92" s="2" t="s">
        <v>172</v>
      </c>
      <c r="AI92" s="2" t="str">
        <f t="shared" si="1"/>
        <v/>
      </c>
      <c r="AJ92" s="2" t="s">
        <v>49</v>
      </c>
      <c r="AK92" s="2" t="s">
        <v>50</v>
      </c>
    </row>
    <row r="93" ht="15.75" customHeight="1">
      <c r="A93" s="2" t="s">
        <v>39</v>
      </c>
      <c r="B93" s="3" t="str">
        <f>HYPERLINK("https://www.senado.gob.ar/parlamentario/comisiones/verExp/1946.25/S/PL","1946")</f>
        <v>1946</v>
      </c>
      <c r="C93" s="3" t="str">
        <f>HYPERLINK("https://www.senado.gob.ar/parlamentario/comisiones/verExp/1946.25/S/PL","2025")</f>
        <v>2025</v>
      </c>
      <c r="D93" s="2" t="s">
        <v>56</v>
      </c>
      <c r="E93" s="2" t="s">
        <v>265</v>
      </c>
      <c r="F93" s="2" t="s">
        <v>251</v>
      </c>
      <c r="I93" s="2" t="s">
        <v>258</v>
      </c>
      <c r="K93" s="2" t="s">
        <v>44</v>
      </c>
      <c r="L93" s="2" t="s">
        <v>162</v>
      </c>
      <c r="N93" s="2" t="s">
        <v>160</v>
      </c>
      <c r="O93" s="2">
        <v>53.0</v>
      </c>
      <c r="P93" s="2" t="s">
        <v>76</v>
      </c>
      <c r="Q93" s="2" t="s">
        <v>172</v>
      </c>
      <c r="AI93" s="2" t="str">
        <f t="shared" si="1"/>
        <v/>
      </c>
      <c r="AJ93" s="2" t="s">
        <v>49</v>
      </c>
      <c r="AK93" s="2" t="s">
        <v>50</v>
      </c>
    </row>
    <row r="94" ht="15.75" customHeight="1">
      <c r="A94" s="2" t="s">
        <v>39</v>
      </c>
      <c r="B94" s="3" t="str">
        <f>HYPERLINK("https://www.senado.gob.ar/parlamentario/comisiones/verExp/1945.25/S/PL","1945")</f>
        <v>1945</v>
      </c>
      <c r="C94" s="3" t="str">
        <f>HYPERLINK("https://www.senado.gob.ar/parlamentario/comisiones/verExp/1945.25/S/PL","2025")</f>
        <v>2025</v>
      </c>
      <c r="D94" s="2" t="s">
        <v>56</v>
      </c>
      <c r="E94" s="2" t="s">
        <v>266</v>
      </c>
      <c r="F94" s="2" t="s">
        <v>251</v>
      </c>
      <c r="I94" s="2" t="s">
        <v>258</v>
      </c>
      <c r="K94" s="2" t="s">
        <v>44</v>
      </c>
      <c r="L94" s="2" t="s">
        <v>162</v>
      </c>
      <c r="N94" s="2" t="s">
        <v>160</v>
      </c>
      <c r="O94" s="2">
        <v>59.0</v>
      </c>
      <c r="P94" s="2" t="s">
        <v>220</v>
      </c>
      <c r="Q94" s="2" t="s">
        <v>172</v>
      </c>
      <c r="S94" s="2">
        <v>64.0</v>
      </c>
      <c r="T94" s="2" t="s">
        <v>186</v>
      </c>
      <c r="U94" s="2" t="s">
        <v>172</v>
      </c>
      <c r="AI94" s="2" t="str">
        <f t="shared" si="1"/>
        <v/>
      </c>
      <c r="AJ94" s="2" t="s">
        <v>49</v>
      </c>
      <c r="AK94" s="2" t="s">
        <v>50</v>
      </c>
    </row>
    <row r="95" ht="15.75" customHeight="1">
      <c r="A95" s="2" t="s">
        <v>39</v>
      </c>
      <c r="B95" s="3" t="str">
        <f>HYPERLINK("https://www.senado.gob.ar/parlamentario/comisiones/verExp/1933.25/S/PL","1933")</f>
        <v>1933</v>
      </c>
      <c r="C95" s="3" t="str">
        <f>HYPERLINK("https://www.senado.gob.ar/parlamentario/comisiones/verExp/1933.25/S/PL","2025")</f>
        <v>2025</v>
      </c>
      <c r="D95" s="2" t="s">
        <v>56</v>
      </c>
      <c r="E95" s="2" t="s">
        <v>267</v>
      </c>
      <c r="F95" s="2" t="s">
        <v>268</v>
      </c>
      <c r="I95" s="2" t="s">
        <v>258</v>
      </c>
      <c r="K95" s="2" t="s">
        <v>44</v>
      </c>
      <c r="L95" s="2" t="s">
        <v>254</v>
      </c>
      <c r="N95" s="2" t="s">
        <v>269</v>
      </c>
      <c r="O95" s="2">
        <v>65.0</v>
      </c>
      <c r="P95" s="2" t="s">
        <v>153</v>
      </c>
      <c r="Q95" s="2" t="s">
        <v>270</v>
      </c>
      <c r="S95" s="2">
        <v>74.0</v>
      </c>
      <c r="T95" s="2" t="s">
        <v>256</v>
      </c>
      <c r="U95" s="2" t="s">
        <v>270</v>
      </c>
      <c r="W95" s="2">
        <v>58.0</v>
      </c>
      <c r="X95" s="2" t="s">
        <v>194</v>
      </c>
      <c r="Y95" s="2" t="s">
        <v>270</v>
      </c>
      <c r="AA95" s="2">
        <v>315.0</v>
      </c>
      <c r="AB95" s="2" t="s">
        <v>271</v>
      </c>
      <c r="AC95" s="2" t="s">
        <v>270</v>
      </c>
      <c r="AI95" s="2" t="str">
        <f t="shared" si="1"/>
        <v/>
      </c>
      <c r="AJ95" s="2" t="s">
        <v>49</v>
      </c>
      <c r="AK95" s="2" t="s">
        <v>50</v>
      </c>
    </row>
    <row r="96" ht="15.75" customHeight="1">
      <c r="A96" s="2" t="s">
        <v>39</v>
      </c>
      <c r="B96" s="3" t="str">
        <f>HYPERLINK("https://www.senado.gob.ar/parlamentario/comisiones/verExp/1932.25/S/PL","1932")</f>
        <v>1932</v>
      </c>
      <c r="C96" s="3" t="str">
        <f>HYPERLINK("https://www.senado.gob.ar/parlamentario/comisiones/verExp/1932.25/S/PL","2025")</f>
        <v>2025</v>
      </c>
      <c r="D96" s="2" t="s">
        <v>56</v>
      </c>
      <c r="E96" s="2" t="s">
        <v>272</v>
      </c>
      <c r="F96" s="2" t="s">
        <v>268</v>
      </c>
      <c r="I96" s="2" t="s">
        <v>258</v>
      </c>
      <c r="K96" s="2" t="s">
        <v>44</v>
      </c>
      <c r="L96" s="2" t="s">
        <v>254</v>
      </c>
      <c r="N96" s="2" t="s">
        <v>273</v>
      </c>
      <c r="O96" s="2">
        <v>78.0</v>
      </c>
      <c r="P96" s="2" t="s">
        <v>73</v>
      </c>
      <c r="Q96" s="2" t="s">
        <v>270</v>
      </c>
      <c r="AI96" s="2" t="str">
        <f t="shared" si="1"/>
        <v/>
      </c>
      <c r="AJ96" s="2" t="s">
        <v>49</v>
      </c>
      <c r="AK96" s="2" t="s">
        <v>50</v>
      </c>
    </row>
    <row r="97" ht="15.75" customHeight="1">
      <c r="A97" s="2" t="s">
        <v>39</v>
      </c>
      <c r="B97" s="3" t="str">
        <f>HYPERLINK("https://www.senado.gob.ar/parlamentario/comisiones/verExp/1929.25/S/PR","1929")</f>
        <v>1929</v>
      </c>
      <c r="C97" s="3" t="str">
        <f>HYPERLINK("https://www.senado.gob.ar/parlamentario/comisiones/verExp/1929.25/S/PR","2025")</f>
        <v>2025</v>
      </c>
      <c r="D97" s="2" t="s">
        <v>145</v>
      </c>
      <c r="E97" s="2" t="s">
        <v>274</v>
      </c>
      <c r="F97" s="2" t="s">
        <v>268</v>
      </c>
      <c r="I97" s="2" t="s">
        <v>258</v>
      </c>
      <c r="K97" s="2" t="s">
        <v>44</v>
      </c>
      <c r="L97" s="2" t="s">
        <v>254</v>
      </c>
      <c r="N97" s="2" t="s">
        <v>275</v>
      </c>
      <c r="O97" s="2">
        <v>56.0</v>
      </c>
      <c r="P97" s="2" t="s">
        <v>262</v>
      </c>
      <c r="Q97" s="2" t="s">
        <v>270</v>
      </c>
      <c r="S97" s="2">
        <v>54.0</v>
      </c>
      <c r="T97" s="2" t="s">
        <v>65</v>
      </c>
      <c r="U97" s="2" t="s">
        <v>270</v>
      </c>
      <c r="AI97" s="2" t="str">
        <f t="shared" si="1"/>
        <v/>
      </c>
      <c r="AJ97" s="2" t="s">
        <v>49</v>
      </c>
      <c r="AK97" s="2" t="s">
        <v>50</v>
      </c>
    </row>
    <row r="98" ht="15.75" customHeight="1">
      <c r="A98" s="2" t="s">
        <v>39</v>
      </c>
      <c r="B98" s="3" t="str">
        <f>HYPERLINK("https://www.senado.gob.ar/parlamentario/comisiones/verExp/1928.25/S/PL","1928")</f>
        <v>1928</v>
      </c>
      <c r="C98" s="3" t="str">
        <f>HYPERLINK("https://www.senado.gob.ar/parlamentario/comisiones/verExp/1928.25/S/PL","2025")</f>
        <v>2025</v>
      </c>
      <c r="D98" s="2" t="s">
        <v>56</v>
      </c>
      <c r="E98" s="2" t="s">
        <v>276</v>
      </c>
      <c r="F98" s="2" t="s">
        <v>268</v>
      </c>
      <c r="I98" s="2" t="s">
        <v>277</v>
      </c>
      <c r="K98" s="2" t="s">
        <v>44</v>
      </c>
      <c r="L98" s="2" t="s">
        <v>254</v>
      </c>
      <c r="M98" s="2" t="s">
        <v>278</v>
      </c>
      <c r="N98" s="2" t="s">
        <v>279</v>
      </c>
      <c r="O98" s="2">
        <v>58.0</v>
      </c>
      <c r="P98" s="2" t="s">
        <v>194</v>
      </c>
      <c r="Q98" s="2" t="s">
        <v>270</v>
      </c>
      <c r="S98" s="2">
        <v>64.0</v>
      </c>
      <c r="T98" s="2" t="s">
        <v>186</v>
      </c>
      <c r="U98" s="2" t="s">
        <v>270</v>
      </c>
      <c r="AI98" s="2" t="str">
        <f t="shared" si="1"/>
        <v/>
      </c>
      <c r="AJ98" s="2" t="s">
        <v>49</v>
      </c>
      <c r="AK98" s="2" t="s">
        <v>50</v>
      </c>
    </row>
    <row r="99" ht="15.75" customHeight="1">
      <c r="A99" s="2" t="s">
        <v>39</v>
      </c>
      <c r="B99" s="3" t="str">
        <f>HYPERLINK("https://www.senado.gob.ar/parlamentario/comisiones/verExp/1927.25/S/PR","1927")</f>
        <v>1927</v>
      </c>
      <c r="C99" s="3" t="str">
        <f>HYPERLINK("https://www.senado.gob.ar/parlamentario/comisiones/verExp/1927.25/S/PR","2025")</f>
        <v>2025</v>
      </c>
      <c r="D99" s="2" t="s">
        <v>145</v>
      </c>
      <c r="E99" s="2" t="s">
        <v>280</v>
      </c>
      <c r="F99" s="2" t="s">
        <v>268</v>
      </c>
      <c r="I99" s="2" t="s">
        <v>277</v>
      </c>
      <c r="K99" s="2" t="s">
        <v>44</v>
      </c>
      <c r="L99" s="2" t="s">
        <v>254</v>
      </c>
      <c r="N99" s="2" t="s">
        <v>281</v>
      </c>
      <c r="O99" s="2">
        <v>75.0</v>
      </c>
      <c r="P99" s="2" t="s">
        <v>71</v>
      </c>
      <c r="Q99" s="2" t="s">
        <v>270</v>
      </c>
      <c r="S99" s="2">
        <v>54.0</v>
      </c>
      <c r="T99" s="2" t="s">
        <v>65</v>
      </c>
      <c r="U99" s="2" t="s">
        <v>270</v>
      </c>
      <c r="AI99" s="2" t="str">
        <f t="shared" si="1"/>
        <v/>
      </c>
      <c r="AJ99" s="2" t="s">
        <v>49</v>
      </c>
      <c r="AK99" s="2" t="s">
        <v>50</v>
      </c>
    </row>
    <row r="100" ht="15.75" customHeight="1">
      <c r="A100" s="2" t="s">
        <v>39</v>
      </c>
      <c r="B100" s="3" t="str">
        <f>HYPERLINK("https://www.senado.gob.ar/parlamentario/comisiones/verExp/1923.25/S/PL","1923")</f>
        <v>1923</v>
      </c>
      <c r="C100" s="3" t="str">
        <f>HYPERLINK("https://www.senado.gob.ar/parlamentario/comisiones/verExp/1923.25/S/PL","2025")</f>
        <v>2025</v>
      </c>
      <c r="D100" s="2" t="s">
        <v>56</v>
      </c>
      <c r="E100" s="2" t="s">
        <v>282</v>
      </c>
      <c r="F100" s="2" t="s">
        <v>268</v>
      </c>
      <c r="I100" s="2" t="s">
        <v>277</v>
      </c>
      <c r="K100" s="2" t="s">
        <v>44</v>
      </c>
      <c r="L100" s="2" t="s">
        <v>277</v>
      </c>
      <c r="N100" s="2" t="s">
        <v>217</v>
      </c>
      <c r="O100" s="2">
        <v>69.0</v>
      </c>
      <c r="P100" s="2" t="s">
        <v>135</v>
      </c>
      <c r="Q100" s="2" t="s">
        <v>283</v>
      </c>
      <c r="AI100" s="2" t="str">
        <f t="shared" si="1"/>
        <v/>
      </c>
      <c r="AJ100" s="2" t="s">
        <v>49</v>
      </c>
      <c r="AK100" s="2" t="s">
        <v>50</v>
      </c>
    </row>
    <row r="101" ht="15.75" customHeight="1">
      <c r="A101" s="2" t="s">
        <v>39</v>
      </c>
      <c r="B101" s="3" t="str">
        <f>HYPERLINK("https://www.senado.gob.ar/parlamentario/comisiones/verExp/1910.25/S/PL","1910")</f>
        <v>1910</v>
      </c>
      <c r="C101" s="3" t="str">
        <f>HYPERLINK("https://www.senado.gob.ar/parlamentario/comisiones/verExp/1910.25/S/PL","2025")</f>
        <v>2025</v>
      </c>
      <c r="D101" s="2" t="s">
        <v>56</v>
      </c>
      <c r="E101" s="2" t="s">
        <v>284</v>
      </c>
      <c r="F101" s="2" t="s">
        <v>285</v>
      </c>
      <c r="I101" s="2" t="s">
        <v>286</v>
      </c>
      <c r="K101" s="2" t="s">
        <v>44</v>
      </c>
      <c r="L101" s="2" t="s">
        <v>254</v>
      </c>
      <c r="N101" s="2" t="s">
        <v>287</v>
      </c>
      <c r="O101" s="2">
        <v>75.0</v>
      </c>
      <c r="P101" s="2" t="s">
        <v>71</v>
      </c>
      <c r="Q101" s="2" t="s">
        <v>270</v>
      </c>
      <c r="AI101" s="2" t="str">
        <f t="shared" si="1"/>
        <v/>
      </c>
      <c r="AJ101" s="2" t="s">
        <v>49</v>
      </c>
      <c r="AK101" s="2" t="s">
        <v>50</v>
      </c>
    </row>
    <row r="102" ht="15.75" customHeight="1">
      <c r="A102" s="2" t="s">
        <v>39</v>
      </c>
      <c r="B102" s="3" t="str">
        <f>HYPERLINK("https://www.senado.gob.ar/parlamentario/comisiones/verExp/1906.25/S/PL","1906")</f>
        <v>1906</v>
      </c>
      <c r="C102" s="3" t="str">
        <f>HYPERLINK("https://www.senado.gob.ar/parlamentario/comisiones/verExp/1906.25/S/PL","2025")</f>
        <v>2025</v>
      </c>
      <c r="D102" s="2" t="s">
        <v>56</v>
      </c>
      <c r="E102" s="2" t="s">
        <v>288</v>
      </c>
      <c r="F102" s="2" t="s">
        <v>285</v>
      </c>
      <c r="I102" s="2" t="s">
        <v>286</v>
      </c>
      <c r="K102" s="2" t="s">
        <v>44</v>
      </c>
      <c r="L102" s="2" t="s">
        <v>254</v>
      </c>
      <c r="N102" s="2" t="s">
        <v>75</v>
      </c>
      <c r="O102" s="2">
        <v>78.0</v>
      </c>
      <c r="P102" s="2" t="s">
        <v>73</v>
      </c>
      <c r="Q102" s="2" t="s">
        <v>270</v>
      </c>
      <c r="S102" s="2">
        <v>54.0</v>
      </c>
      <c r="T102" s="2" t="s">
        <v>65</v>
      </c>
      <c r="U102" s="2" t="s">
        <v>270</v>
      </c>
      <c r="W102" s="2">
        <v>68.0</v>
      </c>
      <c r="X102" s="2" t="s">
        <v>180</v>
      </c>
      <c r="Y102" s="2" t="s">
        <v>270</v>
      </c>
      <c r="AI102" s="2" t="str">
        <f t="shared" si="1"/>
        <v/>
      </c>
      <c r="AJ102" s="2" t="s">
        <v>49</v>
      </c>
      <c r="AK102" s="2" t="s">
        <v>50</v>
      </c>
    </row>
    <row r="103" ht="15.75" customHeight="1">
      <c r="A103" s="2" t="s">
        <v>39</v>
      </c>
      <c r="B103" s="3" t="str">
        <f>HYPERLINK("https://www.senado.gob.ar/parlamentario/comisiones/verExp/1903.25/S/PL","1903")</f>
        <v>1903</v>
      </c>
      <c r="C103" s="3" t="str">
        <f>HYPERLINK("https://www.senado.gob.ar/parlamentario/comisiones/verExp/1903.25/S/PL","2025")</f>
        <v>2025</v>
      </c>
      <c r="D103" s="2" t="s">
        <v>56</v>
      </c>
      <c r="E103" s="2" t="s">
        <v>289</v>
      </c>
      <c r="F103" s="2" t="s">
        <v>285</v>
      </c>
      <c r="I103" s="2" t="s">
        <v>286</v>
      </c>
      <c r="K103" s="2" t="s">
        <v>44</v>
      </c>
      <c r="L103" s="2" t="s">
        <v>254</v>
      </c>
      <c r="N103" s="2" t="s">
        <v>290</v>
      </c>
      <c r="O103" s="2">
        <v>75.0</v>
      </c>
      <c r="P103" s="2" t="s">
        <v>71</v>
      </c>
      <c r="Q103" s="2" t="s">
        <v>270</v>
      </c>
      <c r="S103" s="2">
        <v>61.0</v>
      </c>
      <c r="T103" s="2" t="s">
        <v>104</v>
      </c>
      <c r="U103" s="2" t="s">
        <v>270</v>
      </c>
      <c r="AI103" s="2" t="str">
        <f t="shared" si="1"/>
        <v/>
      </c>
      <c r="AJ103" s="2" t="s">
        <v>49</v>
      </c>
      <c r="AK103" s="2" t="s">
        <v>50</v>
      </c>
    </row>
    <row r="104" ht="15.75" customHeight="1">
      <c r="A104" s="2" t="s">
        <v>39</v>
      </c>
      <c r="B104" s="3" t="str">
        <f>HYPERLINK("https://www.senado.gob.ar/parlamentario/comisiones/verExp/1902.25/S/PL","1902")</f>
        <v>1902</v>
      </c>
      <c r="C104" s="3" t="str">
        <f>HYPERLINK("https://www.senado.gob.ar/parlamentario/comisiones/verExp/1902.25/S/PL","2025")</f>
        <v>2025</v>
      </c>
      <c r="D104" s="2" t="s">
        <v>56</v>
      </c>
      <c r="E104" s="2" t="s">
        <v>291</v>
      </c>
      <c r="F104" s="2" t="s">
        <v>285</v>
      </c>
      <c r="I104" s="2" t="s">
        <v>286</v>
      </c>
      <c r="K104" s="2" t="s">
        <v>44</v>
      </c>
      <c r="L104" s="2" t="s">
        <v>254</v>
      </c>
      <c r="N104" s="2" t="s">
        <v>160</v>
      </c>
      <c r="O104" s="2">
        <v>70.0</v>
      </c>
      <c r="P104" s="2" t="s">
        <v>166</v>
      </c>
      <c r="Q104" s="2" t="s">
        <v>270</v>
      </c>
      <c r="S104" s="2">
        <v>54.0</v>
      </c>
      <c r="T104" s="2" t="s">
        <v>65</v>
      </c>
      <c r="U104" s="2" t="s">
        <v>270</v>
      </c>
      <c r="AI104" s="2" t="str">
        <f t="shared" si="1"/>
        <v/>
      </c>
      <c r="AJ104" s="2" t="s">
        <v>49</v>
      </c>
      <c r="AK104" s="2" t="s">
        <v>50</v>
      </c>
    </row>
    <row r="105" ht="15.75" customHeight="1">
      <c r="A105" s="2" t="s">
        <v>39</v>
      </c>
      <c r="B105" s="3" t="str">
        <f>HYPERLINK("https://www.senado.gob.ar/parlamentario/comisiones/verExp/1901.25/S/PL","1901")</f>
        <v>1901</v>
      </c>
      <c r="C105" s="3" t="str">
        <f>HYPERLINK("https://www.senado.gob.ar/parlamentario/comisiones/verExp/1901.25/S/PL","2025")</f>
        <v>2025</v>
      </c>
      <c r="D105" s="2" t="s">
        <v>56</v>
      </c>
      <c r="E105" s="2" t="s">
        <v>292</v>
      </c>
      <c r="F105" s="2" t="s">
        <v>285</v>
      </c>
      <c r="I105" s="2" t="s">
        <v>286</v>
      </c>
      <c r="K105" s="2" t="s">
        <v>44</v>
      </c>
      <c r="L105" s="2" t="s">
        <v>254</v>
      </c>
      <c r="N105" s="2" t="s">
        <v>160</v>
      </c>
      <c r="O105" s="2">
        <v>53.0</v>
      </c>
      <c r="P105" s="2" t="s">
        <v>76</v>
      </c>
      <c r="Q105" s="2" t="s">
        <v>270</v>
      </c>
      <c r="S105" s="2">
        <v>74.0</v>
      </c>
      <c r="T105" s="2" t="s">
        <v>256</v>
      </c>
      <c r="U105" s="2" t="s">
        <v>270</v>
      </c>
      <c r="W105" s="2">
        <v>59.0</v>
      </c>
      <c r="X105" s="2" t="s">
        <v>220</v>
      </c>
      <c r="Y105" s="2" t="s">
        <v>270</v>
      </c>
      <c r="AI105" s="2" t="str">
        <f t="shared" si="1"/>
        <v/>
      </c>
      <c r="AJ105" s="2" t="s">
        <v>49</v>
      </c>
      <c r="AK105" s="2" t="s">
        <v>50</v>
      </c>
    </row>
    <row r="106" ht="15.75" customHeight="1">
      <c r="A106" s="2" t="s">
        <v>39</v>
      </c>
      <c r="B106" s="3" t="str">
        <f>HYPERLINK("https://www.senado.gob.ar/parlamentario/comisiones/verExp/1900.25/S/PL","1900")</f>
        <v>1900</v>
      </c>
      <c r="C106" s="3" t="str">
        <f>HYPERLINK("https://www.senado.gob.ar/parlamentario/comisiones/verExp/1900.25/S/PL","2025")</f>
        <v>2025</v>
      </c>
      <c r="D106" s="2" t="s">
        <v>56</v>
      </c>
      <c r="E106" s="2" t="s">
        <v>293</v>
      </c>
      <c r="F106" s="2" t="s">
        <v>285</v>
      </c>
      <c r="I106" s="2" t="s">
        <v>286</v>
      </c>
      <c r="K106" s="2" t="s">
        <v>44</v>
      </c>
      <c r="L106" s="2" t="s">
        <v>254</v>
      </c>
      <c r="N106" s="2" t="s">
        <v>160</v>
      </c>
      <c r="O106" s="2">
        <v>52.0</v>
      </c>
      <c r="P106" s="2" t="s">
        <v>78</v>
      </c>
      <c r="Q106" s="2" t="s">
        <v>270</v>
      </c>
      <c r="S106" s="2">
        <v>54.0</v>
      </c>
      <c r="T106" s="2" t="s">
        <v>65</v>
      </c>
      <c r="U106" s="2" t="s">
        <v>270</v>
      </c>
      <c r="AI106" s="2" t="str">
        <f t="shared" si="1"/>
        <v/>
      </c>
      <c r="AJ106" s="2" t="s">
        <v>49</v>
      </c>
      <c r="AK106" s="2" t="s">
        <v>50</v>
      </c>
    </row>
    <row r="107" ht="15.75" customHeight="1">
      <c r="A107" s="2" t="s">
        <v>39</v>
      </c>
      <c r="B107" s="3" t="str">
        <f>HYPERLINK("https://www.senado.gob.ar/parlamentario/comisiones/verExp/1897.25/S/PL","1897")</f>
        <v>1897</v>
      </c>
      <c r="C107" s="3" t="str">
        <f>HYPERLINK("https://www.senado.gob.ar/parlamentario/comisiones/verExp/1897.25/S/PL","2025")</f>
        <v>2025</v>
      </c>
      <c r="D107" s="2" t="s">
        <v>56</v>
      </c>
      <c r="E107" s="2" t="s">
        <v>294</v>
      </c>
      <c r="F107" s="2" t="s">
        <v>295</v>
      </c>
      <c r="I107" s="2" t="s">
        <v>286</v>
      </c>
      <c r="K107" s="2" t="s">
        <v>44</v>
      </c>
      <c r="L107" s="2" t="s">
        <v>254</v>
      </c>
      <c r="N107" s="2" t="s">
        <v>160</v>
      </c>
      <c r="O107" s="2">
        <v>67.0</v>
      </c>
      <c r="P107" s="2" t="s">
        <v>84</v>
      </c>
      <c r="Q107" s="2" t="s">
        <v>270</v>
      </c>
      <c r="AI107" s="2" t="str">
        <f t="shared" si="1"/>
        <v/>
      </c>
      <c r="AJ107" s="2" t="s">
        <v>49</v>
      </c>
      <c r="AK107" s="2" t="s">
        <v>50</v>
      </c>
    </row>
    <row r="108" ht="15.75" customHeight="1">
      <c r="A108" s="2" t="s">
        <v>39</v>
      </c>
      <c r="B108" s="3" t="str">
        <f>HYPERLINK("https://www.senado.gob.ar/parlamentario/comisiones/verExp/1896.25/S/PL","1896")</f>
        <v>1896</v>
      </c>
      <c r="C108" s="3" t="str">
        <f>HYPERLINK("https://www.senado.gob.ar/parlamentario/comisiones/verExp/1896.25/S/PL","2025")</f>
        <v>2025</v>
      </c>
      <c r="D108" s="2" t="s">
        <v>56</v>
      </c>
      <c r="E108" s="2" t="s">
        <v>296</v>
      </c>
      <c r="F108" s="2" t="s">
        <v>295</v>
      </c>
      <c r="I108" s="2" t="s">
        <v>286</v>
      </c>
      <c r="K108" s="2" t="s">
        <v>44</v>
      </c>
      <c r="L108" s="2" t="s">
        <v>254</v>
      </c>
      <c r="N108" s="2" t="s">
        <v>160</v>
      </c>
      <c r="O108" s="2">
        <v>67.0</v>
      </c>
      <c r="P108" s="2" t="s">
        <v>84</v>
      </c>
      <c r="Q108" s="2" t="s">
        <v>270</v>
      </c>
      <c r="AI108" s="2" t="str">
        <f t="shared" si="1"/>
        <v/>
      </c>
      <c r="AJ108" s="2" t="s">
        <v>49</v>
      </c>
      <c r="AK108" s="2" t="s">
        <v>50</v>
      </c>
    </row>
    <row r="109" ht="15.75" customHeight="1">
      <c r="A109" s="2" t="s">
        <v>39</v>
      </c>
      <c r="B109" s="3" t="str">
        <f>HYPERLINK("https://www.senado.gob.ar/parlamentario/comisiones/verExp/1895.25/S/PL","1895")</f>
        <v>1895</v>
      </c>
      <c r="C109" s="3" t="str">
        <f>HYPERLINK("https://www.senado.gob.ar/parlamentario/comisiones/verExp/1895.25/S/PL","2025")</f>
        <v>2025</v>
      </c>
      <c r="D109" s="2" t="s">
        <v>56</v>
      </c>
      <c r="E109" s="2" t="s">
        <v>297</v>
      </c>
      <c r="F109" s="2" t="s">
        <v>295</v>
      </c>
      <c r="I109" s="2" t="s">
        <v>286</v>
      </c>
      <c r="K109" s="2" t="s">
        <v>44</v>
      </c>
      <c r="L109" s="2" t="s">
        <v>254</v>
      </c>
      <c r="N109" s="2" t="s">
        <v>160</v>
      </c>
      <c r="O109" s="2">
        <v>67.0</v>
      </c>
      <c r="P109" s="2" t="s">
        <v>84</v>
      </c>
      <c r="Q109" s="2" t="s">
        <v>270</v>
      </c>
      <c r="AI109" s="2" t="str">
        <f t="shared" si="1"/>
        <v/>
      </c>
      <c r="AJ109" s="2" t="s">
        <v>49</v>
      </c>
      <c r="AK109" s="2" t="s">
        <v>50</v>
      </c>
    </row>
    <row r="110" ht="15.75" customHeight="1">
      <c r="A110" s="2" t="s">
        <v>39</v>
      </c>
      <c r="B110" s="3" t="str">
        <f>HYPERLINK("https://www.senado.gob.ar/parlamentario/comisiones/verExp/1894.25/S/PL","1894")</f>
        <v>1894</v>
      </c>
      <c r="C110" s="3" t="str">
        <f>HYPERLINK("https://www.senado.gob.ar/parlamentario/comisiones/verExp/1894.25/S/PL","2025")</f>
        <v>2025</v>
      </c>
      <c r="D110" s="2" t="s">
        <v>56</v>
      </c>
      <c r="E110" s="2" t="s">
        <v>298</v>
      </c>
      <c r="F110" s="2" t="s">
        <v>295</v>
      </c>
      <c r="I110" s="2" t="s">
        <v>286</v>
      </c>
      <c r="K110" s="2" t="s">
        <v>44</v>
      </c>
      <c r="L110" s="2" t="s">
        <v>254</v>
      </c>
      <c r="N110" s="2" t="s">
        <v>160</v>
      </c>
      <c r="O110" s="2">
        <v>54.0</v>
      </c>
      <c r="P110" s="2" t="s">
        <v>65</v>
      </c>
      <c r="Q110" s="2" t="s">
        <v>270</v>
      </c>
      <c r="AI110" s="2" t="str">
        <f t="shared" si="1"/>
        <v/>
      </c>
      <c r="AJ110" s="2" t="s">
        <v>49</v>
      </c>
      <c r="AK110" s="2" t="s">
        <v>50</v>
      </c>
    </row>
    <row r="111" ht="15.75" customHeight="1">
      <c r="A111" s="2" t="s">
        <v>39</v>
      </c>
      <c r="B111" s="3" t="str">
        <f>HYPERLINK("https://www.senado.gob.ar/parlamentario/comisiones/verExp/1893.25/S/PL","1893")</f>
        <v>1893</v>
      </c>
      <c r="C111" s="3" t="str">
        <f>HYPERLINK("https://www.senado.gob.ar/parlamentario/comisiones/verExp/1893.25/S/PL","2025")</f>
        <v>2025</v>
      </c>
      <c r="D111" s="2" t="s">
        <v>56</v>
      </c>
      <c r="E111" s="2" t="s">
        <v>299</v>
      </c>
      <c r="F111" s="2" t="s">
        <v>295</v>
      </c>
      <c r="I111" s="2" t="s">
        <v>286</v>
      </c>
      <c r="K111" s="2" t="s">
        <v>44</v>
      </c>
      <c r="L111" s="2" t="s">
        <v>254</v>
      </c>
      <c r="N111" s="2" t="s">
        <v>160</v>
      </c>
      <c r="O111" s="2">
        <v>78.0</v>
      </c>
      <c r="P111" s="2" t="s">
        <v>73</v>
      </c>
      <c r="Q111" s="2" t="s">
        <v>270</v>
      </c>
      <c r="S111" s="2">
        <v>61.0</v>
      </c>
      <c r="T111" s="2" t="s">
        <v>104</v>
      </c>
      <c r="U111" s="2" t="s">
        <v>270</v>
      </c>
      <c r="AI111" s="2" t="str">
        <f t="shared" si="1"/>
        <v/>
      </c>
      <c r="AJ111" s="2" t="s">
        <v>49</v>
      </c>
      <c r="AK111" s="2" t="s">
        <v>50</v>
      </c>
    </row>
    <row r="112" ht="15.75" customHeight="1">
      <c r="A112" s="2" t="s">
        <v>39</v>
      </c>
      <c r="B112" s="3" t="str">
        <f>HYPERLINK("https://www.senado.gob.ar/parlamentario/comisiones/verExp/1881.25/S/PL","1881")</f>
        <v>1881</v>
      </c>
      <c r="C112" s="3" t="str">
        <f>HYPERLINK("https://www.senado.gob.ar/parlamentario/comisiones/verExp/1881.25/S/PL","2025")</f>
        <v>2025</v>
      </c>
      <c r="D112" s="2" t="s">
        <v>56</v>
      </c>
      <c r="E112" s="2" t="s">
        <v>300</v>
      </c>
      <c r="F112" s="2" t="s">
        <v>295</v>
      </c>
      <c r="I112" s="2" t="s">
        <v>301</v>
      </c>
      <c r="K112" s="2" t="s">
        <v>44</v>
      </c>
      <c r="L112" s="2" t="s">
        <v>254</v>
      </c>
      <c r="N112" s="2" t="s">
        <v>160</v>
      </c>
      <c r="O112" s="2">
        <v>58.0</v>
      </c>
      <c r="P112" s="2" t="s">
        <v>194</v>
      </c>
      <c r="Q112" s="2" t="s">
        <v>270</v>
      </c>
      <c r="S112" s="2">
        <v>61.0</v>
      </c>
      <c r="T112" s="2" t="s">
        <v>104</v>
      </c>
      <c r="U112" s="2" t="s">
        <v>270</v>
      </c>
      <c r="AI112" s="2" t="str">
        <f t="shared" si="1"/>
        <v/>
      </c>
      <c r="AJ112" s="2" t="s">
        <v>49</v>
      </c>
      <c r="AK112" s="2" t="s">
        <v>50</v>
      </c>
    </row>
    <row r="113" ht="15.75" customHeight="1">
      <c r="A113" s="2" t="s">
        <v>39</v>
      </c>
      <c r="B113" s="3" t="str">
        <f>HYPERLINK("https://www.senado.gob.ar/parlamentario/comisiones/verExp/1877.25/S/PL","1877")</f>
        <v>1877</v>
      </c>
      <c r="C113" s="3" t="str">
        <f>HYPERLINK("https://www.senado.gob.ar/parlamentario/comisiones/verExp/1877.25/S/PL","2025")</f>
        <v>2025</v>
      </c>
      <c r="D113" s="2" t="s">
        <v>56</v>
      </c>
      <c r="E113" s="2" t="s">
        <v>302</v>
      </c>
      <c r="F113" s="2" t="s">
        <v>303</v>
      </c>
      <c r="I113" s="2" t="s">
        <v>301</v>
      </c>
      <c r="K113" s="2" t="s">
        <v>44</v>
      </c>
      <c r="L113" s="2" t="s">
        <v>254</v>
      </c>
      <c r="N113" s="2" t="s">
        <v>160</v>
      </c>
      <c r="O113" s="2">
        <v>67.0</v>
      </c>
      <c r="P113" s="2" t="s">
        <v>84</v>
      </c>
      <c r="Q113" s="2" t="s">
        <v>270</v>
      </c>
      <c r="AI113" s="2" t="str">
        <f t="shared" si="1"/>
        <v/>
      </c>
      <c r="AJ113" s="2" t="s">
        <v>49</v>
      </c>
      <c r="AK113" s="2" t="s">
        <v>50</v>
      </c>
    </row>
    <row r="114" ht="15.75" customHeight="1">
      <c r="A114" s="2" t="s">
        <v>39</v>
      </c>
      <c r="B114" s="3" t="str">
        <f>HYPERLINK("https://www.senado.gob.ar/parlamentario/comisiones/verExp/1876.25/S/PL","1876")</f>
        <v>1876</v>
      </c>
      <c r="C114" s="3" t="str">
        <f>HYPERLINK("https://www.senado.gob.ar/parlamentario/comisiones/verExp/1876.25/S/PL","2025")</f>
        <v>2025</v>
      </c>
      <c r="D114" s="2" t="s">
        <v>56</v>
      </c>
      <c r="E114" s="2" t="s">
        <v>304</v>
      </c>
      <c r="F114" s="2" t="s">
        <v>303</v>
      </c>
      <c r="I114" s="2" t="s">
        <v>301</v>
      </c>
      <c r="K114" s="2" t="s">
        <v>44</v>
      </c>
      <c r="L114" s="2" t="s">
        <v>254</v>
      </c>
      <c r="N114" s="2" t="s">
        <v>160</v>
      </c>
      <c r="O114" s="2">
        <v>52.0</v>
      </c>
      <c r="P114" s="2" t="s">
        <v>78</v>
      </c>
      <c r="Q114" s="2" t="s">
        <v>270</v>
      </c>
      <c r="AI114" s="2" t="str">
        <f t="shared" si="1"/>
        <v/>
      </c>
      <c r="AJ114" s="2" t="s">
        <v>49</v>
      </c>
      <c r="AK114" s="2" t="s">
        <v>50</v>
      </c>
    </row>
    <row r="115" ht="15.75" customHeight="1">
      <c r="A115" s="2" t="s">
        <v>39</v>
      </c>
      <c r="B115" s="3" t="str">
        <f>HYPERLINK("https://www.senado.gob.ar/parlamentario/comisiones/verExp/1875.25/S/PL","1875")</f>
        <v>1875</v>
      </c>
      <c r="C115" s="3" t="str">
        <f>HYPERLINK("https://www.senado.gob.ar/parlamentario/comisiones/verExp/1875.25/S/PL","2025")</f>
        <v>2025</v>
      </c>
      <c r="D115" s="2" t="s">
        <v>56</v>
      </c>
      <c r="E115" s="2" t="s">
        <v>305</v>
      </c>
      <c r="F115" s="2" t="s">
        <v>303</v>
      </c>
      <c r="I115" s="2" t="s">
        <v>301</v>
      </c>
      <c r="K115" s="2" t="s">
        <v>44</v>
      </c>
      <c r="L115" s="2" t="s">
        <v>306</v>
      </c>
      <c r="N115" s="2" t="s">
        <v>160</v>
      </c>
      <c r="O115" s="2">
        <v>69.0</v>
      </c>
      <c r="P115" s="2" t="s">
        <v>135</v>
      </c>
      <c r="Q115" s="2" t="s">
        <v>307</v>
      </c>
      <c r="S115" s="2">
        <v>52.0</v>
      </c>
      <c r="T115" s="2" t="s">
        <v>78</v>
      </c>
      <c r="U115" s="2" t="s">
        <v>307</v>
      </c>
      <c r="AI115" s="2" t="str">
        <f t="shared" si="1"/>
        <v/>
      </c>
      <c r="AJ115" s="2" t="s">
        <v>49</v>
      </c>
      <c r="AK115" s="2" t="s">
        <v>50</v>
      </c>
    </row>
    <row r="116" ht="15.75" customHeight="1">
      <c r="A116" s="2" t="s">
        <v>39</v>
      </c>
      <c r="B116" s="3" t="str">
        <f>HYPERLINK("https://www.senado.gob.ar/parlamentario/comisiones/verExp/1874.25/S/PL","1874")</f>
        <v>1874</v>
      </c>
      <c r="C116" s="3" t="str">
        <f>HYPERLINK("https://www.senado.gob.ar/parlamentario/comisiones/verExp/1874.25/S/PL","2025")</f>
        <v>2025</v>
      </c>
      <c r="D116" s="2" t="s">
        <v>56</v>
      </c>
      <c r="E116" s="2" t="s">
        <v>308</v>
      </c>
      <c r="F116" s="2" t="s">
        <v>303</v>
      </c>
      <c r="I116" s="2" t="s">
        <v>301</v>
      </c>
      <c r="K116" s="2" t="s">
        <v>44</v>
      </c>
      <c r="L116" s="2" t="s">
        <v>254</v>
      </c>
      <c r="N116" s="2" t="s">
        <v>160</v>
      </c>
      <c r="O116" s="2">
        <v>75.0</v>
      </c>
      <c r="P116" s="2" t="s">
        <v>71</v>
      </c>
      <c r="Q116" s="2" t="s">
        <v>270</v>
      </c>
      <c r="AI116" s="2" t="str">
        <f t="shared" si="1"/>
        <v/>
      </c>
      <c r="AJ116" s="2" t="s">
        <v>49</v>
      </c>
      <c r="AK116" s="2" t="s">
        <v>50</v>
      </c>
    </row>
    <row r="117" ht="15.75" customHeight="1">
      <c r="A117" s="2" t="s">
        <v>39</v>
      </c>
      <c r="B117" s="3" t="str">
        <f>HYPERLINK("https://www.senado.gob.ar/parlamentario/comisiones/verExp/1873.25/S/PL","1873")</f>
        <v>1873</v>
      </c>
      <c r="C117" s="3" t="str">
        <f>HYPERLINK("https://www.senado.gob.ar/parlamentario/comisiones/verExp/1873.25/S/PL","2025")</f>
        <v>2025</v>
      </c>
      <c r="D117" s="2" t="s">
        <v>56</v>
      </c>
      <c r="E117" s="2" t="s">
        <v>309</v>
      </c>
      <c r="F117" s="2" t="s">
        <v>303</v>
      </c>
      <c r="I117" s="2" t="s">
        <v>301</v>
      </c>
      <c r="K117" s="2" t="s">
        <v>44</v>
      </c>
      <c r="L117" s="2" t="s">
        <v>254</v>
      </c>
      <c r="N117" s="2" t="s">
        <v>160</v>
      </c>
      <c r="O117" s="2">
        <v>52.0</v>
      </c>
      <c r="P117" s="2" t="s">
        <v>78</v>
      </c>
      <c r="Q117" s="2" t="s">
        <v>270</v>
      </c>
      <c r="AI117" s="2" t="str">
        <f t="shared" si="1"/>
        <v/>
      </c>
      <c r="AJ117" s="2" t="s">
        <v>49</v>
      </c>
      <c r="AK117" s="2" t="s">
        <v>50</v>
      </c>
    </row>
    <row r="118" ht="15.75" customHeight="1">
      <c r="A118" s="2" t="s">
        <v>39</v>
      </c>
      <c r="B118" s="3" t="str">
        <f>HYPERLINK("https://www.senado.gob.ar/parlamentario/comisiones/verExp/1870.25/S/PL","1870")</f>
        <v>1870</v>
      </c>
      <c r="C118" s="3" t="str">
        <f>HYPERLINK("https://www.senado.gob.ar/parlamentario/comisiones/verExp/1870.25/S/PL","2025")</f>
        <v>2025</v>
      </c>
      <c r="D118" s="2" t="s">
        <v>56</v>
      </c>
      <c r="E118" s="2" t="s">
        <v>310</v>
      </c>
      <c r="F118" s="2" t="s">
        <v>303</v>
      </c>
      <c r="I118" s="2" t="s">
        <v>311</v>
      </c>
      <c r="K118" s="2" t="s">
        <v>44</v>
      </c>
      <c r="L118" s="2" t="s">
        <v>254</v>
      </c>
      <c r="N118" s="2" t="s">
        <v>312</v>
      </c>
      <c r="O118" s="2">
        <v>53.0</v>
      </c>
      <c r="P118" s="2" t="s">
        <v>76</v>
      </c>
      <c r="Q118" s="2" t="s">
        <v>270</v>
      </c>
      <c r="S118" s="2">
        <v>78.0</v>
      </c>
      <c r="T118" s="2" t="s">
        <v>73</v>
      </c>
      <c r="U118" s="2" t="s">
        <v>270</v>
      </c>
      <c r="AI118" s="2" t="str">
        <f t="shared" si="1"/>
        <v/>
      </c>
      <c r="AJ118" s="2" t="s">
        <v>49</v>
      </c>
      <c r="AK118" s="2" t="s">
        <v>50</v>
      </c>
    </row>
    <row r="119" ht="15.75" customHeight="1">
      <c r="A119" s="2" t="s">
        <v>39</v>
      </c>
      <c r="B119" s="3" t="str">
        <f>HYPERLINK("https://www.senado.gob.ar/parlamentario/comisiones/verExp/1862.25/S/PL","1862")</f>
        <v>1862</v>
      </c>
      <c r="C119" s="3" t="str">
        <f>HYPERLINK("https://www.senado.gob.ar/parlamentario/comisiones/verExp/1862.25/S/PL","2025")</f>
        <v>2025</v>
      </c>
      <c r="D119" s="2" t="s">
        <v>56</v>
      </c>
      <c r="E119" s="2" t="s">
        <v>313</v>
      </c>
      <c r="F119" s="2" t="s">
        <v>303</v>
      </c>
      <c r="I119" s="2" t="s">
        <v>314</v>
      </c>
      <c r="K119" s="2" t="s">
        <v>44</v>
      </c>
      <c r="L119" s="2" t="s">
        <v>254</v>
      </c>
      <c r="N119" s="2" t="s">
        <v>279</v>
      </c>
      <c r="O119" s="2">
        <v>54.0</v>
      </c>
      <c r="P119" s="2" t="s">
        <v>65</v>
      </c>
      <c r="Q119" s="2" t="s">
        <v>270</v>
      </c>
      <c r="AI119" s="2" t="str">
        <f t="shared" si="1"/>
        <v/>
      </c>
      <c r="AJ119" s="2" t="s">
        <v>49</v>
      </c>
      <c r="AK119" s="2" t="s">
        <v>50</v>
      </c>
    </row>
    <row r="120" ht="15.75" customHeight="1">
      <c r="A120" s="2" t="s">
        <v>39</v>
      </c>
      <c r="B120" s="3" t="str">
        <f>HYPERLINK("https://www.senado.gob.ar/parlamentario/comisiones/verExp/1861.25/S/PL","1861")</f>
        <v>1861</v>
      </c>
      <c r="C120" s="3" t="str">
        <f>HYPERLINK("https://www.senado.gob.ar/parlamentario/comisiones/verExp/1861.25/S/PL","2025")</f>
        <v>2025</v>
      </c>
      <c r="D120" s="2" t="s">
        <v>56</v>
      </c>
      <c r="E120" s="2" t="s">
        <v>315</v>
      </c>
      <c r="F120" s="2" t="s">
        <v>303</v>
      </c>
      <c r="I120" s="2" t="s">
        <v>314</v>
      </c>
      <c r="K120" s="2" t="s">
        <v>44</v>
      </c>
      <c r="L120" s="2" t="s">
        <v>254</v>
      </c>
      <c r="N120" s="2" t="s">
        <v>316</v>
      </c>
      <c r="O120" s="2">
        <v>53.0</v>
      </c>
      <c r="P120" s="2" t="s">
        <v>76</v>
      </c>
      <c r="Q120" s="2" t="s">
        <v>270</v>
      </c>
      <c r="S120" s="2">
        <v>65.0</v>
      </c>
      <c r="T120" s="2" t="s">
        <v>153</v>
      </c>
      <c r="U120" s="2" t="s">
        <v>270</v>
      </c>
      <c r="W120" s="2">
        <v>54.0</v>
      </c>
      <c r="X120" s="2" t="s">
        <v>65</v>
      </c>
      <c r="Y120" s="2" t="s">
        <v>270</v>
      </c>
      <c r="AI120" s="2" t="str">
        <f t="shared" si="1"/>
        <v/>
      </c>
      <c r="AJ120" s="2" t="s">
        <v>49</v>
      </c>
      <c r="AK120" s="2" t="s">
        <v>50</v>
      </c>
    </row>
    <row r="121" ht="15.75" customHeight="1">
      <c r="A121" s="2" t="s">
        <v>39</v>
      </c>
      <c r="B121" s="3" t="str">
        <f>HYPERLINK("https://www.senado.gob.ar/parlamentario/comisiones/verExp/1859.25/S/PL","1859")</f>
        <v>1859</v>
      </c>
      <c r="C121" s="3" t="str">
        <f>HYPERLINK("https://www.senado.gob.ar/parlamentario/comisiones/verExp/1859.25/S/PL","2025")</f>
        <v>2025</v>
      </c>
      <c r="D121" s="2" t="s">
        <v>56</v>
      </c>
      <c r="E121" s="2" t="s">
        <v>317</v>
      </c>
      <c r="F121" s="2" t="s">
        <v>318</v>
      </c>
      <c r="I121" s="2" t="s">
        <v>319</v>
      </c>
      <c r="K121" s="2" t="s">
        <v>44</v>
      </c>
      <c r="L121" s="2" t="s">
        <v>254</v>
      </c>
      <c r="N121" s="2" t="s">
        <v>168</v>
      </c>
      <c r="O121" s="2">
        <v>52.0</v>
      </c>
      <c r="P121" s="2" t="s">
        <v>78</v>
      </c>
      <c r="Q121" s="2" t="s">
        <v>270</v>
      </c>
      <c r="S121" s="2">
        <v>50.0</v>
      </c>
      <c r="T121" s="2" t="s">
        <v>47</v>
      </c>
      <c r="U121" s="2" t="s">
        <v>270</v>
      </c>
      <c r="AI121" s="2" t="str">
        <f t="shared" si="1"/>
        <v/>
      </c>
      <c r="AJ121" s="2" t="s">
        <v>49</v>
      </c>
      <c r="AK121" s="2" t="s">
        <v>50</v>
      </c>
    </row>
    <row r="122" ht="15.75" customHeight="1">
      <c r="A122" s="2" t="s">
        <v>39</v>
      </c>
      <c r="B122" s="3" t="str">
        <f>HYPERLINK("https://www.senado.gob.ar/parlamentario/comisiones/verExp/1851.25/S/PL","1851")</f>
        <v>1851</v>
      </c>
      <c r="C122" s="3" t="str">
        <f>HYPERLINK("https://www.senado.gob.ar/parlamentario/comisiones/verExp/1851.25/S/PL","2025")</f>
        <v>2025</v>
      </c>
      <c r="D122" s="2" t="s">
        <v>56</v>
      </c>
      <c r="E122" s="2" t="s">
        <v>320</v>
      </c>
      <c r="F122" s="2" t="s">
        <v>318</v>
      </c>
      <c r="I122" s="2" t="s">
        <v>321</v>
      </c>
      <c r="K122" s="2" t="s">
        <v>44</v>
      </c>
      <c r="L122" s="2" t="s">
        <v>319</v>
      </c>
      <c r="N122" s="2" t="s">
        <v>168</v>
      </c>
      <c r="O122" s="2">
        <v>75.0</v>
      </c>
      <c r="P122" s="2" t="s">
        <v>71</v>
      </c>
      <c r="Q122" s="2" t="s">
        <v>322</v>
      </c>
      <c r="S122" s="2">
        <v>54.0</v>
      </c>
      <c r="T122" s="2" t="s">
        <v>65</v>
      </c>
      <c r="U122" s="2" t="s">
        <v>322</v>
      </c>
      <c r="AI122" s="2" t="str">
        <f t="shared" si="1"/>
        <v/>
      </c>
      <c r="AJ122" s="2" t="s">
        <v>49</v>
      </c>
      <c r="AK122" s="2" t="s">
        <v>50</v>
      </c>
    </row>
    <row r="123" ht="15.75" customHeight="1">
      <c r="A123" s="2" t="s">
        <v>39</v>
      </c>
      <c r="B123" s="3" t="str">
        <f>HYPERLINK("https://www.senado.gob.ar/parlamentario/comisiones/verExp/1850.25/S/PL","1850")</f>
        <v>1850</v>
      </c>
      <c r="C123" s="3" t="str">
        <f>HYPERLINK("https://www.senado.gob.ar/parlamentario/comisiones/verExp/1850.25/S/PL","2025")</f>
        <v>2025</v>
      </c>
      <c r="D123" s="2" t="s">
        <v>56</v>
      </c>
      <c r="E123" s="2" t="s">
        <v>323</v>
      </c>
      <c r="F123" s="2" t="s">
        <v>318</v>
      </c>
      <c r="I123" s="2" t="s">
        <v>321</v>
      </c>
      <c r="K123" s="2" t="s">
        <v>44</v>
      </c>
      <c r="L123" s="2" t="s">
        <v>319</v>
      </c>
      <c r="N123" s="2" t="s">
        <v>324</v>
      </c>
      <c r="O123" s="2">
        <v>53.0</v>
      </c>
      <c r="P123" s="2" t="s">
        <v>76</v>
      </c>
      <c r="Q123" s="2" t="s">
        <v>322</v>
      </c>
      <c r="S123" s="2">
        <v>68.0</v>
      </c>
      <c r="T123" s="2" t="s">
        <v>180</v>
      </c>
      <c r="U123" s="2" t="s">
        <v>322</v>
      </c>
      <c r="W123" s="2">
        <v>54.0</v>
      </c>
      <c r="X123" s="2" t="s">
        <v>65</v>
      </c>
      <c r="Y123" s="2" t="s">
        <v>322</v>
      </c>
      <c r="AI123" s="2" t="str">
        <f t="shared" si="1"/>
        <v/>
      </c>
      <c r="AJ123" s="2" t="s">
        <v>49</v>
      </c>
      <c r="AK123" s="2" t="s">
        <v>50</v>
      </c>
    </row>
    <row r="124" ht="15.75" customHeight="1">
      <c r="A124" s="2" t="s">
        <v>39</v>
      </c>
      <c r="B124" s="3" t="str">
        <f>HYPERLINK("https://www.senado.gob.ar/parlamentario/comisiones/verExp/1848.25/S/PL","1848")</f>
        <v>1848</v>
      </c>
      <c r="C124" s="3" t="str">
        <f>HYPERLINK("https://www.senado.gob.ar/parlamentario/comisiones/verExp/1848.25/S/PL","2025")</f>
        <v>2025</v>
      </c>
      <c r="D124" s="2" t="s">
        <v>56</v>
      </c>
      <c r="E124" s="2" t="s">
        <v>325</v>
      </c>
      <c r="F124" s="2" t="s">
        <v>318</v>
      </c>
      <c r="I124" s="2" t="s">
        <v>326</v>
      </c>
      <c r="K124" s="2" t="s">
        <v>44</v>
      </c>
      <c r="L124" s="2" t="s">
        <v>319</v>
      </c>
      <c r="N124" s="2" t="s">
        <v>88</v>
      </c>
      <c r="O124" s="2">
        <v>52.0</v>
      </c>
      <c r="P124" s="2" t="s">
        <v>78</v>
      </c>
      <c r="Q124" s="2" t="s">
        <v>322</v>
      </c>
      <c r="AI124" s="2" t="str">
        <f t="shared" si="1"/>
        <v/>
      </c>
      <c r="AJ124" s="2" t="s">
        <v>49</v>
      </c>
      <c r="AK124" s="2" t="s">
        <v>50</v>
      </c>
    </row>
    <row r="125" ht="15.75" customHeight="1">
      <c r="A125" s="2" t="s">
        <v>39</v>
      </c>
      <c r="B125" s="3" t="str">
        <f>HYPERLINK("https://www.senado.gob.ar/parlamentario/comisiones/verExp/1844.25/S/PL","1844")</f>
        <v>1844</v>
      </c>
      <c r="C125" s="3" t="str">
        <f>HYPERLINK("https://www.senado.gob.ar/parlamentario/comisiones/verExp/1844.25/S/PL","2025")</f>
        <v>2025</v>
      </c>
      <c r="D125" s="2" t="s">
        <v>56</v>
      </c>
      <c r="E125" s="2" t="s">
        <v>327</v>
      </c>
      <c r="F125" s="2" t="s">
        <v>318</v>
      </c>
      <c r="I125" s="2" t="s">
        <v>328</v>
      </c>
      <c r="K125" s="2" t="s">
        <v>44</v>
      </c>
      <c r="L125" s="2" t="s">
        <v>319</v>
      </c>
      <c r="N125" s="2" t="s">
        <v>97</v>
      </c>
      <c r="O125" s="2">
        <v>75.0</v>
      </c>
      <c r="P125" s="2" t="s">
        <v>71</v>
      </c>
      <c r="Q125" s="2" t="s">
        <v>322</v>
      </c>
      <c r="S125" s="2">
        <v>54.0</v>
      </c>
      <c r="T125" s="2" t="s">
        <v>65</v>
      </c>
      <c r="U125" s="2" t="s">
        <v>322</v>
      </c>
      <c r="AI125" s="2" t="str">
        <f t="shared" si="1"/>
        <v/>
      </c>
      <c r="AJ125" s="2" t="s">
        <v>49</v>
      </c>
      <c r="AK125" s="2" t="s">
        <v>50</v>
      </c>
    </row>
    <row r="126" ht="15.75" customHeight="1">
      <c r="A126" s="2" t="s">
        <v>39</v>
      </c>
      <c r="B126" s="3" t="str">
        <f>HYPERLINK("https://www.senado.gob.ar/parlamentario/comisiones/verExp/1836.25/S/PL","1836")</f>
        <v>1836</v>
      </c>
      <c r="C126" s="3" t="str">
        <f>HYPERLINK("https://www.senado.gob.ar/parlamentario/comisiones/verExp/1836.25/S/PL","2025")</f>
        <v>2025</v>
      </c>
      <c r="D126" s="2" t="s">
        <v>56</v>
      </c>
      <c r="E126" s="2" t="s">
        <v>329</v>
      </c>
      <c r="F126" s="2" t="s">
        <v>330</v>
      </c>
      <c r="I126" s="2" t="s">
        <v>331</v>
      </c>
      <c r="K126" s="2" t="s">
        <v>44</v>
      </c>
      <c r="L126" s="2" t="s">
        <v>319</v>
      </c>
      <c r="N126" s="2" t="s">
        <v>332</v>
      </c>
      <c r="O126" s="2">
        <v>50.0</v>
      </c>
      <c r="P126" s="2" t="s">
        <v>47</v>
      </c>
      <c r="Q126" s="2" t="s">
        <v>322</v>
      </c>
      <c r="S126" s="2">
        <v>54.0</v>
      </c>
      <c r="T126" s="2" t="s">
        <v>65</v>
      </c>
      <c r="U126" s="2" t="s">
        <v>322</v>
      </c>
      <c r="AI126" s="2" t="str">
        <f t="shared" si="1"/>
        <v/>
      </c>
      <c r="AJ126" s="2" t="s">
        <v>49</v>
      </c>
      <c r="AK126" s="2" t="s">
        <v>50</v>
      </c>
    </row>
    <row r="127" ht="15.75" customHeight="1">
      <c r="A127" s="2" t="s">
        <v>39</v>
      </c>
      <c r="B127" s="3" t="str">
        <f>HYPERLINK("https://www.senado.gob.ar/parlamentario/comisiones/verExp/1835.25/S/PL","1835")</f>
        <v>1835</v>
      </c>
      <c r="C127" s="3" t="str">
        <f>HYPERLINK("https://www.senado.gob.ar/parlamentario/comisiones/verExp/1835.25/S/PL","2025")</f>
        <v>2025</v>
      </c>
      <c r="D127" s="2" t="s">
        <v>56</v>
      </c>
      <c r="E127" s="2" t="s">
        <v>333</v>
      </c>
      <c r="F127" s="2" t="s">
        <v>330</v>
      </c>
      <c r="I127" s="2" t="s">
        <v>331</v>
      </c>
      <c r="K127" s="2" t="s">
        <v>44</v>
      </c>
      <c r="L127" s="2" t="s">
        <v>319</v>
      </c>
      <c r="N127" s="2" t="s">
        <v>334</v>
      </c>
      <c r="O127" s="2">
        <v>61.0</v>
      </c>
      <c r="P127" s="2" t="s">
        <v>104</v>
      </c>
      <c r="Q127" s="2" t="s">
        <v>322</v>
      </c>
      <c r="AI127" s="2" t="str">
        <f t="shared" si="1"/>
        <v/>
      </c>
      <c r="AJ127" s="2" t="s">
        <v>49</v>
      </c>
      <c r="AK127" s="2" t="s">
        <v>50</v>
      </c>
    </row>
    <row r="128" ht="15.75" customHeight="1">
      <c r="A128" s="2" t="s">
        <v>39</v>
      </c>
      <c r="B128" s="3" t="str">
        <f>HYPERLINK("https://www.senado.gob.ar/parlamentario/comisiones/verExp/1832.25/S/PR","1832")</f>
        <v>1832</v>
      </c>
      <c r="C128" s="3" t="str">
        <f>HYPERLINK("https://www.senado.gob.ar/parlamentario/comisiones/verExp/1832.25/S/PR","2025")</f>
        <v>2025</v>
      </c>
      <c r="D128" s="2" t="s">
        <v>145</v>
      </c>
      <c r="E128" s="2" t="s">
        <v>335</v>
      </c>
      <c r="F128" s="2" t="s">
        <v>330</v>
      </c>
      <c r="I128" s="2" t="s">
        <v>331</v>
      </c>
      <c r="K128" s="2" t="s">
        <v>44</v>
      </c>
      <c r="L128" s="2" t="s">
        <v>319</v>
      </c>
      <c r="N128" s="2" t="s">
        <v>140</v>
      </c>
      <c r="O128" s="2">
        <v>50.0</v>
      </c>
      <c r="P128" s="2" t="s">
        <v>47</v>
      </c>
      <c r="Q128" s="2" t="s">
        <v>322</v>
      </c>
      <c r="S128" s="2">
        <v>55.0</v>
      </c>
      <c r="T128" s="2" t="s">
        <v>336</v>
      </c>
      <c r="U128" s="2" t="s">
        <v>322</v>
      </c>
      <c r="AI128" s="2" t="str">
        <f t="shared" si="1"/>
        <v/>
      </c>
      <c r="AJ128" s="2" t="s">
        <v>49</v>
      </c>
      <c r="AK128" s="2" t="s">
        <v>50</v>
      </c>
    </row>
    <row r="129" ht="15.75" customHeight="1">
      <c r="A129" s="2" t="s">
        <v>39</v>
      </c>
      <c r="B129" s="3" t="str">
        <f>HYPERLINK("https://www.senado.gob.ar/parlamentario/comisiones/verExp/1827.25/S/PL","1827")</f>
        <v>1827</v>
      </c>
      <c r="C129" s="3" t="str">
        <f>HYPERLINK("https://www.senado.gob.ar/parlamentario/comisiones/verExp/1827.25/S/PL","2025")</f>
        <v>2025</v>
      </c>
      <c r="D129" s="2" t="s">
        <v>56</v>
      </c>
      <c r="E129" s="2" t="s">
        <v>337</v>
      </c>
      <c r="F129" s="2" t="s">
        <v>330</v>
      </c>
      <c r="I129" s="2" t="s">
        <v>338</v>
      </c>
      <c r="K129" s="2" t="s">
        <v>44</v>
      </c>
      <c r="L129" s="2" t="s">
        <v>319</v>
      </c>
      <c r="N129" s="2" t="s">
        <v>226</v>
      </c>
      <c r="O129" s="2">
        <v>52.0</v>
      </c>
      <c r="P129" s="2" t="s">
        <v>78</v>
      </c>
      <c r="Q129" s="2" t="s">
        <v>322</v>
      </c>
      <c r="AI129" s="2" t="str">
        <f t="shared" si="1"/>
        <v/>
      </c>
      <c r="AJ129" s="2" t="s">
        <v>49</v>
      </c>
      <c r="AK129" s="2" t="s">
        <v>50</v>
      </c>
    </row>
    <row r="130" ht="15.75" customHeight="1">
      <c r="A130" s="2" t="s">
        <v>39</v>
      </c>
      <c r="B130" s="3" t="str">
        <f>HYPERLINK("https://www.senado.gob.ar/parlamentario/comisiones/verExp/1823.25/S/CO","1823")</f>
        <v>1823</v>
      </c>
      <c r="C130" s="3" t="str">
        <f>HYPERLINK("https://www.senado.gob.ar/parlamentario/comisiones/verExp/1823.25/S/CO","2025")</f>
        <v>2025</v>
      </c>
      <c r="D130" s="2" t="s">
        <v>40</v>
      </c>
      <c r="E130" s="2" t="s">
        <v>339</v>
      </c>
      <c r="F130" s="2" t="s">
        <v>340</v>
      </c>
      <c r="I130" s="2" t="s">
        <v>341</v>
      </c>
      <c r="K130" s="2" t="s">
        <v>44</v>
      </c>
      <c r="L130" s="2" t="s">
        <v>319</v>
      </c>
      <c r="N130" s="2" t="s">
        <v>342</v>
      </c>
      <c r="O130" s="2">
        <v>62.0</v>
      </c>
      <c r="P130" s="2" t="s">
        <v>205</v>
      </c>
      <c r="Q130" s="2" t="s">
        <v>322</v>
      </c>
      <c r="AI130" s="2" t="str">
        <f t="shared" si="1"/>
        <v/>
      </c>
      <c r="AJ130" s="2" t="s">
        <v>49</v>
      </c>
      <c r="AK130" s="2" t="s">
        <v>50</v>
      </c>
    </row>
    <row r="131" ht="15.75" customHeight="1">
      <c r="A131" s="2" t="s">
        <v>39</v>
      </c>
      <c r="B131" s="3" t="str">
        <f>HYPERLINK("https://www.senado.gob.ar/parlamentario/comisiones/verExp/1822.25/S/PL","1822")</f>
        <v>1822</v>
      </c>
      <c r="C131" s="3" t="str">
        <f>HYPERLINK("https://www.senado.gob.ar/parlamentario/comisiones/verExp/1822.25/S/PL","2025")</f>
        <v>2025</v>
      </c>
      <c r="D131" s="2" t="s">
        <v>56</v>
      </c>
      <c r="E131" s="2" t="s">
        <v>343</v>
      </c>
      <c r="F131" s="2" t="s">
        <v>330</v>
      </c>
      <c r="I131" s="2" t="s">
        <v>341</v>
      </c>
      <c r="K131" s="2" t="s">
        <v>44</v>
      </c>
      <c r="L131" s="2" t="s">
        <v>319</v>
      </c>
      <c r="N131" s="2" t="s">
        <v>46</v>
      </c>
      <c r="O131" s="2">
        <v>73.0</v>
      </c>
      <c r="P131" s="2" t="s">
        <v>237</v>
      </c>
      <c r="Q131" s="2" t="s">
        <v>322</v>
      </c>
      <c r="S131" s="2">
        <v>75.0</v>
      </c>
      <c r="T131" s="2" t="s">
        <v>71</v>
      </c>
      <c r="U131" s="2" t="s">
        <v>322</v>
      </c>
      <c r="AI131" s="2" t="str">
        <f t="shared" si="1"/>
        <v/>
      </c>
      <c r="AJ131" s="2" t="s">
        <v>49</v>
      </c>
      <c r="AK131" s="2" t="s">
        <v>50</v>
      </c>
    </row>
    <row r="132" ht="15.75" customHeight="1">
      <c r="A132" s="2" t="s">
        <v>39</v>
      </c>
      <c r="B132" s="3" t="str">
        <f>HYPERLINK("https://www.senado.gob.ar/parlamentario/comisiones/verExp/1819.25/S/PL","1819")</f>
        <v>1819</v>
      </c>
      <c r="C132" s="3" t="str">
        <f>HYPERLINK("https://www.senado.gob.ar/parlamentario/comisiones/verExp/1819.25/S/PL","2025")</f>
        <v>2025</v>
      </c>
      <c r="D132" s="2" t="s">
        <v>56</v>
      </c>
      <c r="E132" s="2" t="s">
        <v>344</v>
      </c>
      <c r="F132" s="2" t="s">
        <v>345</v>
      </c>
      <c r="I132" s="2" t="s">
        <v>341</v>
      </c>
      <c r="K132" s="2" t="s">
        <v>44</v>
      </c>
      <c r="L132" s="2" t="s">
        <v>319</v>
      </c>
      <c r="N132" s="2" t="s">
        <v>75</v>
      </c>
      <c r="O132" s="2">
        <v>78.0</v>
      </c>
      <c r="P132" s="2" t="s">
        <v>73</v>
      </c>
      <c r="Q132" s="2" t="s">
        <v>322</v>
      </c>
      <c r="S132" s="2">
        <v>68.0</v>
      </c>
      <c r="T132" s="2" t="s">
        <v>180</v>
      </c>
      <c r="U132" s="2" t="s">
        <v>322</v>
      </c>
      <c r="W132" s="2">
        <v>54.0</v>
      </c>
      <c r="X132" s="2" t="s">
        <v>65</v>
      </c>
      <c r="Y132" s="2" t="s">
        <v>322</v>
      </c>
      <c r="AI132" s="2" t="str">
        <f t="shared" si="1"/>
        <v/>
      </c>
      <c r="AJ132" s="2" t="s">
        <v>49</v>
      </c>
      <c r="AK132" s="2" t="s">
        <v>50</v>
      </c>
    </row>
    <row r="133" ht="15.75" customHeight="1">
      <c r="A133" s="2" t="s">
        <v>39</v>
      </c>
      <c r="B133" s="3" t="str">
        <f>HYPERLINK("https://www.senado.gob.ar/parlamentario/comisiones/verExp/1818.25/S/PL","1818")</f>
        <v>1818</v>
      </c>
      <c r="C133" s="3" t="str">
        <f>HYPERLINK("https://www.senado.gob.ar/parlamentario/comisiones/verExp/1818.25/S/PL","2025")</f>
        <v>2025</v>
      </c>
      <c r="D133" s="2" t="s">
        <v>56</v>
      </c>
      <c r="E133" s="2" t="s">
        <v>346</v>
      </c>
      <c r="F133" s="2" t="s">
        <v>345</v>
      </c>
      <c r="I133" s="2" t="s">
        <v>341</v>
      </c>
      <c r="K133" s="2" t="s">
        <v>44</v>
      </c>
      <c r="L133" s="2" t="s">
        <v>319</v>
      </c>
      <c r="N133" s="2" t="s">
        <v>217</v>
      </c>
      <c r="O133" s="2">
        <v>65.0</v>
      </c>
      <c r="P133" s="2" t="s">
        <v>153</v>
      </c>
      <c r="Q133" s="2" t="s">
        <v>322</v>
      </c>
      <c r="S133" s="2">
        <v>54.0</v>
      </c>
      <c r="T133" s="2" t="s">
        <v>65</v>
      </c>
      <c r="U133" s="2" t="s">
        <v>322</v>
      </c>
      <c r="AI133" s="2" t="str">
        <f t="shared" si="1"/>
        <v/>
      </c>
      <c r="AJ133" s="2" t="s">
        <v>49</v>
      </c>
      <c r="AK133" s="2" t="s">
        <v>50</v>
      </c>
    </row>
    <row r="134" ht="15.75" customHeight="1">
      <c r="A134" s="2" t="s">
        <v>39</v>
      </c>
      <c r="B134" s="3" t="str">
        <f>HYPERLINK("https://www.senado.gob.ar/parlamentario/comisiones/verExp/1804.25/S/PL","1804")</f>
        <v>1804</v>
      </c>
      <c r="C134" s="3" t="str">
        <f>HYPERLINK("https://www.senado.gob.ar/parlamentario/comisiones/verExp/1804.25/S/PL","2025")</f>
        <v>2025</v>
      </c>
      <c r="D134" s="2" t="s">
        <v>56</v>
      </c>
      <c r="E134" s="2" t="s">
        <v>347</v>
      </c>
      <c r="F134" s="2" t="s">
        <v>348</v>
      </c>
      <c r="I134" s="2" t="s">
        <v>349</v>
      </c>
      <c r="K134" s="2" t="s">
        <v>44</v>
      </c>
      <c r="L134" s="2" t="s">
        <v>319</v>
      </c>
      <c r="N134" s="2" t="s">
        <v>350</v>
      </c>
      <c r="O134" s="2">
        <v>78.0</v>
      </c>
      <c r="P134" s="2" t="s">
        <v>73</v>
      </c>
      <c r="Q134" s="2" t="s">
        <v>322</v>
      </c>
      <c r="S134" s="2">
        <v>61.0</v>
      </c>
      <c r="T134" s="2" t="s">
        <v>104</v>
      </c>
      <c r="U134" s="2" t="s">
        <v>322</v>
      </c>
      <c r="W134" s="2">
        <v>54.0</v>
      </c>
      <c r="X134" s="2" t="s">
        <v>65</v>
      </c>
      <c r="Y134" s="2" t="s">
        <v>322</v>
      </c>
      <c r="AI134" s="2" t="str">
        <f t="shared" si="1"/>
        <v/>
      </c>
      <c r="AJ134" s="2" t="s">
        <v>49</v>
      </c>
      <c r="AK134" s="2" t="s">
        <v>50</v>
      </c>
    </row>
    <row r="135" ht="15.75" customHeight="1">
      <c r="A135" s="2" t="s">
        <v>39</v>
      </c>
      <c r="B135" s="3" t="str">
        <f>HYPERLINK("https://www.senado.gob.ar/parlamentario/comisiones/verExp/1802.25/S/PL","1802")</f>
        <v>1802</v>
      </c>
      <c r="C135" s="3" t="str">
        <f>HYPERLINK("https://www.senado.gob.ar/parlamentario/comisiones/verExp/1802.25/S/PL","2025")</f>
        <v>2025</v>
      </c>
      <c r="D135" s="2" t="s">
        <v>56</v>
      </c>
      <c r="E135" s="2" t="s">
        <v>351</v>
      </c>
      <c r="F135" s="2" t="s">
        <v>348</v>
      </c>
      <c r="I135" s="2" t="s">
        <v>349</v>
      </c>
      <c r="K135" s="2" t="s">
        <v>44</v>
      </c>
      <c r="L135" s="2" t="s">
        <v>319</v>
      </c>
      <c r="N135" s="2" t="s">
        <v>352</v>
      </c>
      <c r="O135" s="2">
        <v>50.0</v>
      </c>
      <c r="P135" s="2" t="s">
        <v>47</v>
      </c>
      <c r="Q135" s="2" t="s">
        <v>322</v>
      </c>
      <c r="S135" s="2">
        <v>315.0</v>
      </c>
      <c r="T135" s="2" t="s">
        <v>271</v>
      </c>
      <c r="U135" s="2" t="s">
        <v>322</v>
      </c>
      <c r="AI135" s="2" t="str">
        <f t="shared" si="1"/>
        <v/>
      </c>
      <c r="AJ135" s="2" t="s">
        <v>49</v>
      </c>
      <c r="AK135" s="2" t="s">
        <v>50</v>
      </c>
    </row>
    <row r="136" ht="15.75" customHeight="1">
      <c r="A136" s="2" t="s">
        <v>39</v>
      </c>
      <c r="B136" s="3" t="str">
        <f>HYPERLINK("https://www.senado.gob.ar/parlamentario/comisiones/verExp/1798.25/S/PL","1798")</f>
        <v>1798</v>
      </c>
      <c r="C136" s="3" t="str">
        <f>HYPERLINK("https://www.senado.gob.ar/parlamentario/comisiones/verExp/1798.25/S/PL","2025")</f>
        <v>2025</v>
      </c>
      <c r="D136" s="2" t="s">
        <v>56</v>
      </c>
      <c r="E136" s="2" t="s">
        <v>353</v>
      </c>
      <c r="F136" s="2" t="s">
        <v>348</v>
      </c>
      <c r="I136" s="2" t="s">
        <v>349</v>
      </c>
      <c r="K136" s="2" t="s">
        <v>44</v>
      </c>
      <c r="L136" s="2" t="s">
        <v>319</v>
      </c>
      <c r="N136" s="2" t="s">
        <v>140</v>
      </c>
      <c r="O136" s="2">
        <v>75.0</v>
      </c>
      <c r="P136" s="2" t="s">
        <v>71</v>
      </c>
      <c r="Q136" s="2" t="s">
        <v>322</v>
      </c>
      <c r="AI136" s="2" t="str">
        <f t="shared" si="1"/>
        <v/>
      </c>
      <c r="AJ136" s="2" t="s">
        <v>49</v>
      </c>
      <c r="AK136" s="2" t="s">
        <v>50</v>
      </c>
    </row>
    <row r="137" ht="15.75" customHeight="1">
      <c r="A137" s="2" t="s">
        <v>39</v>
      </c>
      <c r="B137" s="3" t="str">
        <f>HYPERLINK("https://www.senado.gob.ar/parlamentario/comisiones/verExp/1797.25/S/CO","1797")</f>
        <v>1797</v>
      </c>
      <c r="C137" s="3" t="str">
        <f>HYPERLINK("https://www.senado.gob.ar/parlamentario/comisiones/verExp/1797.25/S/CO","2025")</f>
        <v>2025</v>
      </c>
      <c r="D137" s="2" t="s">
        <v>40</v>
      </c>
      <c r="E137" s="2" t="s">
        <v>354</v>
      </c>
      <c r="F137" s="2" t="s">
        <v>340</v>
      </c>
      <c r="I137" s="2" t="s">
        <v>355</v>
      </c>
      <c r="K137" s="2" t="s">
        <v>44</v>
      </c>
      <c r="L137" s="2" t="s">
        <v>319</v>
      </c>
      <c r="N137" s="2" t="s">
        <v>356</v>
      </c>
      <c r="O137" s="2">
        <v>54.0</v>
      </c>
      <c r="P137" s="2" t="s">
        <v>65</v>
      </c>
      <c r="Q137" s="2" t="s">
        <v>322</v>
      </c>
      <c r="S137" s="2">
        <v>75.0</v>
      </c>
      <c r="T137" s="2" t="s">
        <v>71</v>
      </c>
      <c r="U137" s="2" t="s">
        <v>322</v>
      </c>
      <c r="AI137" s="2" t="str">
        <f t="shared" si="1"/>
        <v/>
      </c>
      <c r="AJ137" s="2" t="s">
        <v>49</v>
      </c>
      <c r="AK137" s="2" t="s">
        <v>50</v>
      </c>
    </row>
    <row r="138" ht="15.75" customHeight="1">
      <c r="A138" s="2" t="s">
        <v>39</v>
      </c>
      <c r="B138" s="3" t="str">
        <f>HYPERLINK("https://www.senado.gob.ar/parlamentario/comisiones/verExp/1794.25/S/PR","1794")</f>
        <v>1794</v>
      </c>
      <c r="C138" s="3" t="str">
        <f>HYPERLINK("https://www.senado.gob.ar/parlamentario/comisiones/verExp/1794.25/S/PR","2025")</f>
        <v>2025</v>
      </c>
      <c r="D138" s="2" t="s">
        <v>145</v>
      </c>
      <c r="E138" s="2" t="s">
        <v>357</v>
      </c>
      <c r="F138" s="2" t="s">
        <v>348</v>
      </c>
      <c r="I138" s="2" t="s">
        <v>355</v>
      </c>
      <c r="K138" s="2" t="s">
        <v>44</v>
      </c>
      <c r="L138" s="2" t="s">
        <v>319</v>
      </c>
      <c r="N138" s="2" t="s">
        <v>358</v>
      </c>
      <c r="O138" s="2">
        <v>69.0</v>
      </c>
      <c r="P138" s="2" t="s">
        <v>135</v>
      </c>
      <c r="Q138" s="2" t="s">
        <v>322</v>
      </c>
      <c r="AI138" s="2" t="str">
        <f t="shared" si="1"/>
        <v/>
      </c>
      <c r="AJ138" s="2" t="s">
        <v>49</v>
      </c>
      <c r="AK138" s="2" t="s">
        <v>50</v>
      </c>
    </row>
    <row r="139" ht="15.75" customHeight="1">
      <c r="A139" s="2" t="s">
        <v>39</v>
      </c>
      <c r="B139" s="3" t="str">
        <f>HYPERLINK("https://www.senado.gob.ar/parlamentario/comisiones/verExp/1793.25/S/PL","1793")</f>
        <v>1793</v>
      </c>
      <c r="C139" s="3" t="str">
        <f>HYPERLINK("https://www.senado.gob.ar/parlamentario/comisiones/verExp/1793.25/S/PL","2025")</f>
        <v>2025</v>
      </c>
      <c r="D139" s="2" t="s">
        <v>56</v>
      </c>
      <c r="E139" s="2" t="s">
        <v>359</v>
      </c>
      <c r="F139" s="2" t="s">
        <v>348</v>
      </c>
      <c r="I139" s="2" t="s">
        <v>355</v>
      </c>
      <c r="K139" s="2" t="s">
        <v>44</v>
      </c>
      <c r="L139" s="2" t="s">
        <v>319</v>
      </c>
      <c r="N139" s="2" t="s">
        <v>360</v>
      </c>
      <c r="O139" s="2">
        <v>53.0</v>
      </c>
      <c r="P139" s="2" t="s">
        <v>76</v>
      </c>
      <c r="Q139" s="2" t="s">
        <v>322</v>
      </c>
      <c r="S139" s="2">
        <v>70.0</v>
      </c>
      <c r="T139" s="2" t="s">
        <v>166</v>
      </c>
      <c r="U139" s="2" t="s">
        <v>322</v>
      </c>
      <c r="AI139" s="2" t="str">
        <f t="shared" si="1"/>
        <v/>
      </c>
      <c r="AJ139" s="2" t="s">
        <v>49</v>
      </c>
      <c r="AK139" s="2" t="s">
        <v>50</v>
      </c>
    </row>
    <row r="140" ht="15.75" customHeight="1">
      <c r="A140" s="2" t="s">
        <v>39</v>
      </c>
      <c r="B140" s="3" t="str">
        <f>HYPERLINK("https://www.senado.gob.ar/parlamentario/comisiones/verExp/1792.25/S/PL","1792")</f>
        <v>1792</v>
      </c>
      <c r="C140" s="3" t="str">
        <f>HYPERLINK("https://www.senado.gob.ar/parlamentario/comisiones/verExp/1792.25/S/PL","2025")</f>
        <v>2025</v>
      </c>
      <c r="D140" s="2" t="s">
        <v>56</v>
      </c>
      <c r="E140" s="2" t="s">
        <v>361</v>
      </c>
      <c r="F140" s="2" t="s">
        <v>348</v>
      </c>
      <c r="I140" s="2" t="s">
        <v>355</v>
      </c>
      <c r="K140" s="2" t="s">
        <v>44</v>
      </c>
      <c r="L140" s="2" t="s">
        <v>319</v>
      </c>
      <c r="N140" s="2" t="s">
        <v>362</v>
      </c>
      <c r="O140" s="2">
        <v>53.0</v>
      </c>
      <c r="P140" s="2" t="s">
        <v>76</v>
      </c>
      <c r="Q140" s="2" t="s">
        <v>322</v>
      </c>
      <c r="S140" s="2">
        <v>77.0</v>
      </c>
      <c r="T140" s="2" t="s">
        <v>70</v>
      </c>
      <c r="U140" s="2" t="s">
        <v>322</v>
      </c>
      <c r="W140" s="2">
        <v>70.0</v>
      </c>
      <c r="X140" s="2" t="s">
        <v>166</v>
      </c>
      <c r="Y140" s="2" t="s">
        <v>322</v>
      </c>
      <c r="AI140" s="2" t="str">
        <f t="shared" si="1"/>
        <v/>
      </c>
      <c r="AJ140" s="2" t="s">
        <v>49</v>
      </c>
      <c r="AK140" s="2" t="s">
        <v>50</v>
      </c>
    </row>
    <row r="141" ht="15.75" customHeight="1">
      <c r="A141" s="2" t="s">
        <v>39</v>
      </c>
      <c r="B141" s="3" t="str">
        <f>HYPERLINK("https://www.senado.gob.ar/parlamentario/comisiones/verExp/1791.25/S/PL","1791")</f>
        <v>1791</v>
      </c>
      <c r="C141" s="3" t="str">
        <f>HYPERLINK("https://www.senado.gob.ar/parlamentario/comisiones/verExp/1791.25/S/PL","2025")</f>
        <v>2025</v>
      </c>
      <c r="D141" s="2" t="s">
        <v>56</v>
      </c>
      <c r="E141" s="2" t="s">
        <v>363</v>
      </c>
      <c r="F141" s="2" t="s">
        <v>348</v>
      </c>
      <c r="I141" s="2" t="s">
        <v>355</v>
      </c>
      <c r="K141" s="2" t="s">
        <v>44</v>
      </c>
      <c r="L141" s="2" t="s">
        <v>319</v>
      </c>
      <c r="N141" s="2" t="s">
        <v>287</v>
      </c>
      <c r="O141" s="2">
        <v>61.0</v>
      </c>
      <c r="P141" s="2" t="s">
        <v>104</v>
      </c>
      <c r="Q141" s="2" t="s">
        <v>322</v>
      </c>
      <c r="S141" s="2">
        <v>53.0</v>
      </c>
      <c r="T141" s="2" t="s">
        <v>76</v>
      </c>
      <c r="U141" s="2" t="s">
        <v>322</v>
      </c>
      <c r="AI141" s="2" t="str">
        <f t="shared" si="1"/>
        <v/>
      </c>
      <c r="AJ141" s="2" t="s">
        <v>49</v>
      </c>
      <c r="AK141" s="2" t="s">
        <v>50</v>
      </c>
    </row>
    <row r="142" ht="15.75" customHeight="1">
      <c r="A142" s="2" t="s">
        <v>39</v>
      </c>
      <c r="B142" s="3" t="str">
        <f>HYPERLINK("https://www.senado.gob.ar/parlamentario/comisiones/verExp/1790.25/S/PL","1790")</f>
        <v>1790</v>
      </c>
      <c r="C142" s="3" t="str">
        <f>HYPERLINK("https://www.senado.gob.ar/parlamentario/comisiones/verExp/1790.25/S/PL","2025")</f>
        <v>2025</v>
      </c>
      <c r="D142" s="2" t="s">
        <v>56</v>
      </c>
      <c r="E142" s="2" t="s">
        <v>364</v>
      </c>
      <c r="F142" s="2" t="s">
        <v>348</v>
      </c>
      <c r="I142" s="2" t="s">
        <v>355</v>
      </c>
      <c r="K142" s="2" t="s">
        <v>44</v>
      </c>
      <c r="L142" s="2" t="s">
        <v>319</v>
      </c>
      <c r="N142" s="2" t="s">
        <v>226</v>
      </c>
      <c r="O142" s="2">
        <v>61.0</v>
      </c>
      <c r="P142" s="2" t="s">
        <v>104</v>
      </c>
      <c r="Q142" s="2" t="s">
        <v>322</v>
      </c>
      <c r="AI142" s="2" t="str">
        <f t="shared" si="1"/>
        <v/>
      </c>
      <c r="AJ142" s="2" t="s">
        <v>49</v>
      </c>
      <c r="AK142" s="2" t="s">
        <v>50</v>
      </c>
    </row>
    <row r="143" ht="15.75" customHeight="1">
      <c r="A143" s="2" t="s">
        <v>39</v>
      </c>
      <c r="B143" s="3" t="str">
        <f>HYPERLINK("https://www.senado.gob.ar/parlamentario/comisiones/verExp/1788.25/S/PL","1788")</f>
        <v>1788</v>
      </c>
      <c r="C143" s="3" t="str">
        <f>HYPERLINK("https://www.senado.gob.ar/parlamentario/comisiones/verExp/1788.25/S/PL","2025")</f>
        <v>2025</v>
      </c>
      <c r="D143" s="2" t="s">
        <v>56</v>
      </c>
      <c r="E143" s="2" t="s">
        <v>365</v>
      </c>
      <c r="F143" s="2" t="s">
        <v>348</v>
      </c>
      <c r="I143" s="2" t="s">
        <v>366</v>
      </c>
      <c r="K143" s="2" t="s">
        <v>44</v>
      </c>
      <c r="L143" s="2" t="s">
        <v>355</v>
      </c>
      <c r="N143" s="2" t="s">
        <v>356</v>
      </c>
      <c r="O143" s="2">
        <v>54.0</v>
      </c>
      <c r="P143" s="2" t="s">
        <v>65</v>
      </c>
      <c r="Q143" s="2" t="s">
        <v>367</v>
      </c>
      <c r="S143" s="2">
        <v>75.0</v>
      </c>
      <c r="T143" s="2" t="s">
        <v>71</v>
      </c>
      <c r="U143" s="2" t="s">
        <v>367</v>
      </c>
      <c r="AI143" s="2" t="str">
        <f t="shared" si="1"/>
        <v/>
      </c>
      <c r="AJ143" s="2" t="s">
        <v>49</v>
      </c>
      <c r="AK143" s="2" t="s">
        <v>50</v>
      </c>
    </row>
    <row r="144" ht="15.75" customHeight="1">
      <c r="A144" s="2" t="s">
        <v>39</v>
      </c>
      <c r="B144" s="3" t="str">
        <f>HYPERLINK("https://www.senado.gob.ar/parlamentario/comisiones/verExp/1787.25/S/PL","1787")</f>
        <v>1787</v>
      </c>
      <c r="C144" s="3" t="str">
        <f>HYPERLINK("https://www.senado.gob.ar/parlamentario/comisiones/verExp/1787.25/S/PL","2025")</f>
        <v>2025</v>
      </c>
      <c r="D144" s="2" t="s">
        <v>56</v>
      </c>
      <c r="E144" s="2" t="s">
        <v>368</v>
      </c>
      <c r="F144" s="2" t="s">
        <v>348</v>
      </c>
      <c r="I144" s="2" t="s">
        <v>366</v>
      </c>
      <c r="K144" s="2" t="s">
        <v>44</v>
      </c>
      <c r="L144" s="2" t="s">
        <v>355</v>
      </c>
      <c r="N144" s="2" t="s">
        <v>356</v>
      </c>
      <c r="O144" s="2">
        <v>53.0</v>
      </c>
      <c r="P144" s="2" t="s">
        <v>76</v>
      </c>
      <c r="Q144" s="2" t="s">
        <v>367</v>
      </c>
      <c r="AI144" s="2" t="str">
        <f t="shared" si="1"/>
        <v/>
      </c>
      <c r="AJ144" s="2" t="s">
        <v>49</v>
      </c>
      <c r="AK144" s="2" t="s">
        <v>50</v>
      </c>
    </row>
    <row r="145" ht="15.75" customHeight="1">
      <c r="A145" s="2" t="s">
        <v>39</v>
      </c>
      <c r="B145" s="3" t="str">
        <f>HYPERLINK("https://www.senado.gob.ar/parlamentario/comisiones/verExp/1770.25/S/PL","1770")</f>
        <v>1770</v>
      </c>
      <c r="C145" s="3" t="str">
        <f>HYPERLINK("https://www.senado.gob.ar/parlamentario/comisiones/verExp/1770.25/S/PL","2025")</f>
        <v>2025</v>
      </c>
      <c r="D145" s="2" t="s">
        <v>56</v>
      </c>
      <c r="E145" s="2" t="s">
        <v>369</v>
      </c>
      <c r="F145" s="2" t="s">
        <v>370</v>
      </c>
      <c r="I145" s="2" t="s">
        <v>371</v>
      </c>
      <c r="K145" s="2" t="s">
        <v>44</v>
      </c>
      <c r="L145" s="2" t="s">
        <v>355</v>
      </c>
      <c r="N145" s="2" t="s">
        <v>372</v>
      </c>
      <c r="O145" s="2">
        <v>65.0</v>
      </c>
      <c r="P145" s="2" t="s">
        <v>153</v>
      </c>
      <c r="Q145" s="2" t="s">
        <v>367</v>
      </c>
      <c r="S145" s="2">
        <v>74.0</v>
      </c>
      <c r="T145" s="2" t="s">
        <v>256</v>
      </c>
      <c r="U145" s="2" t="s">
        <v>367</v>
      </c>
      <c r="AI145" s="2" t="str">
        <f t="shared" si="1"/>
        <v/>
      </c>
      <c r="AJ145" s="2" t="s">
        <v>49</v>
      </c>
      <c r="AK145" s="2" t="s">
        <v>50</v>
      </c>
    </row>
    <row r="146" ht="15.75" customHeight="1">
      <c r="A146" s="2" t="s">
        <v>39</v>
      </c>
      <c r="B146" s="3" t="str">
        <f>HYPERLINK("https://www.senado.gob.ar/parlamentario/comisiones/verExp/1769.25/S/PL","1769")</f>
        <v>1769</v>
      </c>
      <c r="C146" s="3" t="str">
        <f>HYPERLINK("https://www.senado.gob.ar/parlamentario/comisiones/verExp/1769.25/S/PL","2025")</f>
        <v>2025</v>
      </c>
      <c r="D146" s="2" t="s">
        <v>56</v>
      </c>
      <c r="E146" s="2" t="s">
        <v>373</v>
      </c>
      <c r="F146" s="2" t="s">
        <v>370</v>
      </c>
      <c r="I146" s="2" t="s">
        <v>374</v>
      </c>
      <c r="K146" s="2" t="s">
        <v>44</v>
      </c>
      <c r="L146" s="2" t="s">
        <v>355</v>
      </c>
      <c r="N146" s="2" t="s">
        <v>375</v>
      </c>
      <c r="O146" s="2">
        <v>52.0</v>
      </c>
      <c r="P146" s="2" t="s">
        <v>78</v>
      </c>
      <c r="Q146" s="2" t="s">
        <v>367</v>
      </c>
      <c r="AI146" s="2" t="str">
        <f t="shared" si="1"/>
        <v/>
      </c>
      <c r="AJ146" s="2" t="s">
        <v>49</v>
      </c>
      <c r="AK146" s="2" t="s">
        <v>50</v>
      </c>
    </row>
    <row r="147" ht="15.75" customHeight="1">
      <c r="A147" s="2" t="s">
        <v>39</v>
      </c>
      <c r="B147" s="3" t="str">
        <f>HYPERLINK("https://www.senado.gob.ar/parlamentario/comisiones/verExp/1758.25/S/CO","1758")</f>
        <v>1758</v>
      </c>
      <c r="C147" s="3" t="str">
        <f>HYPERLINK("https://www.senado.gob.ar/parlamentario/comisiones/verExp/1758.25/S/CO","2025")</f>
        <v>2025</v>
      </c>
      <c r="D147" s="2" t="s">
        <v>40</v>
      </c>
      <c r="E147" s="2" t="s">
        <v>376</v>
      </c>
      <c r="F147" s="2" t="s">
        <v>340</v>
      </c>
      <c r="I147" s="2" t="s">
        <v>374</v>
      </c>
      <c r="K147" s="2" t="s">
        <v>44</v>
      </c>
      <c r="L147" s="2" t="s">
        <v>355</v>
      </c>
      <c r="N147" s="2" t="s">
        <v>377</v>
      </c>
      <c r="O147" s="2">
        <v>76.0</v>
      </c>
      <c r="P147" s="2" t="s">
        <v>233</v>
      </c>
      <c r="Q147" s="2" t="s">
        <v>367</v>
      </c>
      <c r="AI147" s="2" t="str">
        <f t="shared" si="1"/>
        <v/>
      </c>
      <c r="AJ147" s="2" t="s">
        <v>49</v>
      </c>
      <c r="AK147" s="2" t="s">
        <v>50</v>
      </c>
    </row>
    <row r="148" ht="15.75" customHeight="1">
      <c r="A148" s="2" t="s">
        <v>39</v>
      </c>
      <c r="B148" s="3" t="str">
        <f>HYPERLINK("https://www.senado.gob.ar/parlamentario/comisiones/verExp/1756.25/S/PL","1756")</f>
        <v>1756</v>
      </c>
      <c r="C148" s="3" t="str">
        <f>HYPERLINK("https://www.senado.gob.ar/parlamentario/comisiones/verExp/1756.25/S/PL","2025")</f>
        <v>2025</v>
      </c>
      <c r="D148" s="2" t="s">
        <v>56</v>
      </c>
      <c r="E148" s="2" t="s">
        <v>378</v>
      </c>
      <c r="F148" s="2" t="s">
        <v>379</v>
      </c>
      <c r="I148" s="2" t="s">
        <v>374</v>
      </c>
      <c r="K148" s="2" t="s">
        <v>44</v>
      </c>
      <c r="L148" s="2" t="s">
        <v>355</v>
      </c>
      <c r="N148" s="2" t="s">
        <v>380</v>
      </c>
      <c r="O148" s="2">
        <v>50.0</v>
      </c>
      <c r="P148" s="2" t="s">
        <v>47</v>
      </c>
      <c r="Q148" s="2" t="s">
        <v>367</v>
      </c>
      <c r="S148" s="2">
        <v>62.0</v>
      </c>
      <c r="T148" s="2" t="s">
        <v>205</v>
      </c>
      <c r="U148" s="2" t="s">
        <v>367</v>
      </c>
      <c r="W148" s="2">
        <v>54.0</v>
      </c>
      <c r="X148" s="2" t="s">
        <v>65</v>
      </c>
      <c r="Y148" s="2" t="s">
        <v>367</v>
      </c>
      <c r="AI148" s="2" t="str">
        <f t="shared" si="1"/>
        <v/>
      </c>
      <c r="AJ148" s="2" t="s">
        <v>49</v>
      </c>
      <c r="AK148" s="2" t="s">
        <v>50</v>
      </c>
    </row>
    <row r="149" ht="15.75" customHeight="1">
      <c r="A149" s="2" t="s">
        <v>39</v>
      </c>
      <c r="B149" s="3" t="str">
        <f>HYPERLINK("https://www.senado.gob.ar/parlamentario/comisiones/verExp/1753.25/S/PL","1753")</f>
        <v>1753</v>
      </c>
      <c r="C149" s="3" t="str">
        <f>HYPERLINK("https://www.senado.gob.ar/parlamentario/comisiones/verExp/1753.25/S/PL","2025")</f>
        <v>2025</v>
      </c>
      <c r="D149" s="2" t="s">
        <v>56</v>
      </c>
      <c r="E149" s="2" t="s">
        <v>381</v>
      </c>
      <c r="F149" s="2" t="s">
        <v>379</v>
      </c>
      <c r="I149" s="2" t="s">
        <v>382</v>
      </c>
      <c r="K149" s="2" t="s">
        <v>44</v>
      </c>
      <c r="L149" s="2" t="s">
        <v>371</v>
      </c>
      <c r="N149" s="2" t="s">
        <v>160</v>
      </c>
      <c r="O149" s="2">
        <v>61.0</v>
      </c>
      <c r="P149" s="2" t="s">
        <v>104</v>
      </c>
      <c r="Q149" s="2" t="s">
        <v>383</v>
      </c>
      <c r="S149" s="2">
        <v>54.0</v>
      </c>
      <c r="T149" s="2" t="s">
        <v>65</v>
      </c>
      <c r="U149" s="2" t="s">
        <v>383</v>
      </c>
      <c r="AI149" s="2" t="str">
        <f t="shared" si="1"/>
        <v/>
      </c>
      <c r="AJ149" s="2" t="s">
        <v>49</v>
      </c>
      <c r="AK149" s="2" t="s">
        <v>50</v>
      </c>
    </row>
    <row r="150" ht="15.75" customHeight="1">
      <c r="A150" s="2" t="s">
        <v>39</v>
      </c>
      <c r="B150" s="3" t="str">
        <f>HYPERLINK("https://www.senado.gob.ar/parlamentario/comisiones/verExp/1752.25/S/PL","1752")</f>
        <v>1752</v>
      </c>
      <c r="C150" s="3" t="str">
        <f>HYPERLINK("https://www.senado.gob.ar/parlamentario/comisiones/verExp/1752.25/S/PL","2025")</f>
        <v>2025</v>
      </c>
      <c r="D150" s="2" t="s">
        <v>56</v>
      </c>
      <c r="E150" s="2" t="s">
        <v>384</v>
      </c>
      <c r="F150" s="2" t="s">
        <v>379</v>
      </c>
      <c r="I150" s="2" t="s">
        <v>382</v>
      </c>
      <c r="K150" s="2" t="s">
        <v>44</v>
      </c>
      <c r="L150" s="2" t="s">
        <v>371</v>
      </c>
      <c r="N150" s="2" t="s">
        <v>160</v>
      </c>
      <c r="O150" s="2">
        <v>60.0</v>
      </c>
      <c r="P150" s="2" t="s">
        <v>64</v>
      </c>
      <c r="Q150" s="2" t="s">
        <v>383</v>
      </c>
      <c r="S150" s="2">
        <v>54.0</v>
      </c>
      <c r="T150" s="2" t="s">
        <v>65</v>
      </c>
      <c r="U150" s="2" t="s">
        <v>383</v>
      </c>
      <c r="AI150" s="2" t="str">
        <f t="shared" si="1"/>
        <v/>
      </c>
      <c r="AJ150" s="2" t="s">
        <v>49</v>
      </c>
      <c r="AK150" s="2" t="s">
        <v>50</v>
      </c>
    </row>
    <row r="151" ht="15.75" customHeight="1">
      <c r="A151" s="2" t="s">
        <v>39</v>
      </c>
      <c r="B151" s="3" t="str">
        <f>HYPERLINK("https://www.senado.gob.ar/parlamentario/comisiones/verExp/1751.25/S/PR","1751")</f>
        <v>1751</v>
      </c>
      <c r="C151" s="3" t="str">
        <f>HYPERLINK("https://www.senado.gob.ar/parlamentario/comisiones/verExp/1751.25/S/PR","2025")</f>
        <v>2025</v>
      </c>
      <c r="D151" s="2" t="s">
        <v>145</v>
      </c>
      <c r="E151" s="2" t="s">
        <v>385</v>
      </c>
      <c r="F151" s="2" t="s">
        <v>379</v>
      </c>
      <c r="I151" s="2" t="s">
        <v>382</v>
      </c>
      <c r="K151" s="2" t="s">
        <v>44</v>
      </c>
      <c r="L151" s="2" t="s">
        <v>371</v>
      </c>
      <c r="N151" s="2" t="s">
        <v>386</v>
      </c>
      <c r="O151" s="2">
        <v>50.0</v>
      </c>
      <c r="P151" s="2" t="s">
        <v>47</v>
      </c>
      <c r="Q151" s="2" t="s">
        <v>383</v>
      </c>
      <c r="S151" s="2">
        <v>75.0</v>
      </c>
      <c r="T151" s="2" t="s">
        <v>71</v>
      </c>
      <c r="U151" s="2" t="s">
        <v>383</v>
      </c>
      <c r="AI151" s="2" t="str">
        <f t="shared" si="1"/>
        <v/>
      </c>
      <c r="AJ151" s="2" t="s">
        <v>49</v>
      </c>
      <c r="AK151" s="2" t="s">
        <v>50</v>
      </c>
    </row>
    <row r="152" ht="15.75" customHeight="1">
      <c r="A152" s="2" t="s">
        <v>39</v>
      </c>
      <c r="B152" s="3" t="str">
        <f>HYPERLINK("https://www.senado.gob.ar/parlamentario/comisiones/verExp/1742.25/S/PL","1742")</f>
        <v>1742</v>
      </c>
      <c r="C152" s="3" t="str">
        <f>HYPERLINK("https://www.senado.gob.ar/parlamentario/comisiones/verExp/1742.25/S/PL","2025")</f>
        <v>2025</v>
      </c>
      <c r="D152" s="2" t="s">
        <v>56</v>
      </c>
      <c r="E152" s="2" t="s">
        <v>387</v>
      </c>
      <c r="F152" s="2" t="s">
        <v>388</v>
      </c>
      <c r="I152" s="2" t="s">
        <v>382</v>
      </c>
      <c r="K152" s="2" t="s">
        <v>44</v>
      </c>
      <c r="L152" s="2" t="s">
        <v>371</v>
      </c>
      <c r="N152" s="2" t="s">
        <v>386</v>
      </c>
      <c r="O152" s="2">
        <v>50.0</v>
      </c>
      <c r="P152" s="2" t="s">
        <v>47</v>
      </c>
      <c r="Q152" s="2" t="s">
        <v>383</v>
      </c>
      <c r="S152" s="2">
        <v>315.0</v>
      </c>
      <c r="T152" s="2" t="s">
        <v>271</v>
      </c>
      <c r="U152" s="2" t="s">
        <v>383</v>
      </c>
      <c r="AI152" s="2" t="str">
        <f t="shared" si="1"/>
        <v/>
      </c>
      <c r="AJ152" s="2" t="s">
        <v>49</v>
      </c>
      <c r="AK152" s="2" t="s">
        <v>50</v>
      </c>
    </row>
    <row r="153" ht="15.75" customHeight="1">
      <c r="A153" s="2" t="s">
        <v>39</v>
      </c>
      <c r="B153" s="3" t="str">
        <f>HYPERLINK("https://www.senado.gob.ar/parlamentario/comisiones/verExp/1739.25/S/PL","1739")</f>
        <v>1739</v>
      </c>
      <c r="C153" s="3" t="str">
        <f>HYPERLINK("https://www.senado.gob.ar/parlamentario/comisiones/verExp/1739.25/S/PL","2025")</f>
        <v>2025</v>
      </c>
      <c r="D153" s="2" t="s">
        <v>56</v>
      </c>
      <c r="E153" s="2" t="s">
        <v>389</v>
      </c>
      <c r="F153" s="2" t="s">
        <v>388</v>
      </c>
      <c r="I153" s="2" t="s">
        <v>390</v>
      </c>
      <c r="K153" s="2" t="s">
        <v>44</v>
      </c>
      <c r="L153" s="2" t="s">
        <v>382</v>
      </c>
      <c r="N153" s="2" t="s">
        <v>88</v>
      </c>
      <c r="O153" s="2">
        <v>52.0</v>
      </c>
      <c r="P153" s="2" t="s">
        <v>78</v>
      </c>
      <c r="Q153" s="2" t="s">
        <v>391</v>
      </c>
      <c r="AI153" s="2" t="str">
        <f t="shared" si="1"/>
        <v/>
      </c>
      <c r="AJ153" s="2" t="s">
        <v>49</v>
      </c>
      <c r="AK153" s="2" t="s">
        <v>50</v>
      </c>
    </row>
    <row r="154" ht="15.75" customHeight="1">
      <c r="A154" s="2" t="s">
        <v>39</v>
      </c>
      <c r="B154" s="3" t="str">
        <f>HYPERLINK("https://www.senado.gob.ar/parlamentario/comisiones/verExp/1738.25/S/PL","1738")</f>
        <v>1738</v>
      </c>
      <c r="C154" s="3" t="str">
        <f>HYPERLINK("https://www.senado.gob.ar/parlamentario/comisiones/verExp/1738.25/S/PL","2025")</f>
        <v>2025</v>
      </c>
      <c r="D154" s="2" t="s">
        <v>56</v>
      </c>
      <c r="E154" s="2" t="s">
        <v>392</v>
      </c>
      <c r="F154" s="2" t="s">
        <v>388</v>
      </c>
      <c r="I154" s="2" t="s">
        <v>393</v>
      </c>
      <c r="K154" s="2" t="s">
        <v>44</v>
      </c>
      <c r="L154" s="2" t="s">
        <v>371</v>
      </c>
      <c r="N154" s="2" t="s">
        <v>394</v>
      </c>
      <c r="O154" s="2">
        <v>78.0</v>
      </c>
      <c r="P154" s="2" t="s">
        <v>73</v>
      </c>
      <c r="Q154" s="2" t="s">
        <v>383</v>
      </c>
      <c r="AI154" s="2" t="str">
        <f t="shared" si="1"/>
        <v/>
      </c>
      <c r="AJ154" s="2" t="s">
        <v>49</v>
      </c>
      <c r="AK154" s="2" t="s">
        <v>50</v>
      </c>
    </row>
    <row r="155" ht="15.75" customHeight="1">
      <c r="A155" s="2" t="s">
        <v>39</v>
      </c>
      <c r="B155" s="3" t="str">
        <f>HYPERLINK("https://www.senado.gob.ar/parlamentario/comisiones/verExp/1734.25/S/PL","1734")</f>
        <v>1734</v>
      </c>
      <c r="C155" s="3" t="str">
        <f>HYPERLINK("https://www.senado.gob.ar/parlamentario/comisiones/verExp/1734.25/S/PL","2025")</f>
        <v>2025</v>
      </c>
      <c r="D155" s="2" t="s">
        <v>56</v>
      </c>
      <c r="E155" s="2" t="s">
        <v>395</v>
      </c>
      <c r="F155" s="2" t="s">
        <v>388</v>
      </c>
      <c r="I155" s="2" t="s">
        <v>393</v>
      </c>
      <c r="K155" s="2" t="s">
        <v>44</v>
      </c>
      <c r="L155" s="2" t="s">
        <v>371</v>
      </c>
      <c r="N155" s="2" t="s">
        <v>160</v>
      </c>
      <c r="O155" s="2">
        <v>52.0</v>
      </c>
      <c r="P155" s="2" t="s">
        <v>78</v>
      </c>
      <c r="Q155" s="2" t="s">
        <v>383</v>
      </c>
      <c r="S155" s="2">
        <v>54.0</v>
      </c>
      <c r="T155" s="2" t="s">
        <v>65</v>
      </c>
      <c r="U155" s="2" t="s">
        <v>383</v>
      </c>
      <c r="AI155" s="2" t="str">
        <f t="shared" si="1"/>
        <v/>
      </c>
      <c r="AJ155" s="2" t="s">
        <v>49</v>
      </c>
      <c r="AK155" s="2" t="s">
        <v>50</v>
      </c>
    </row>
    <row r="156" ht="15.75" customHeight="1">
      <c r="A156" s="2" t="s">
        <v>39</v>
      </c>
      <c r="B156" s="3" t="str">
        <f>HYPERLINK("https://www.senado.gob.ar/parlamentario/comisiones/verExp/1733.25/S/PL","1733")</f>
        <v>1733</v>
      </c>
      <c r="C156" s="3" t="str">
        <f>HYPERLINK("https://www.senado.gob.ar/parlamentario/comisiones/verExp/1733.25/S/PL","2025")</f>
        <v>2025</v>
      </c>
      <c r="D156" s="2" t="s">
        <v>56</v>
      </c>
      <c r="E156" s="2" t="s">
        <v>396</v>
      </c>
      <c r="F156" s="2" t="s">
        <v>388</v>
      </c>
      <c r="I156" s="2" t="s">
        <v>393</v>
      </c>
      <c r="K156" s="2" t="s">
        <v>44</v>
      </c>
      <c r="L156" s="2" t="s">
        <v>371</v>
      </c>
      <c r="N156" s="2" t="s">
        <v>397</v>
      </c>
      <c r="O156" s="2">
        <v>50.0</v>
      </c>
      <c r="P156" s="2" t="s">
        <v>47</v>
      </c>
      <c r="Q156" s="2" t="s">
        <v>383</v>
      </c>
      <c r="S156" s="2">
        <v>56.0</v>
      </c>
      <c r="T156" s="2" t="s">
        <v>262</v>
      </c>
      <c r="U156" s="2" t="s">
        <v>383</v>
      </c>
      <c r="W156" s="2">
        <v>51.0</v>
      </c>
      <c r="X156" s="2" t="s">
        <v>62</v>
      </c>
      <c r="Y156" s="2" t="s">
        <v>383</v>
      </c>
      <c r="AI156" s="2" t="str">
        <f t="shared" si="1"/>
        <v/>
      </c>
      <c r="AJ156" s="2" t="s">
        <v>49</v>
      </c>
      <c r="AK156" s="2" t="s">
        <v>50</v>
      </c>
    </row>
    <row r="157" ht="15.75" customHeight="1">
      <c r="A157" s="2" t="s">
        <v>39</v>
      </c>
      <c r="B157" s="3" t="str">
        <f>HYPERLINK("https://www.senado.gob.ar/parlamentario/comisiones/verExp/1731.25/S/CO","1731")</f>
        <v>1731</v>
      </c>
      <c r="C157" s="3" t="str">
        <f>HYPERLINK("https://www.senado.gob.ar/parlamentario/comisiones/verExp/1731.25/S/CO","2025")</f>
        <v>2025</v>
      </c>
      <c r="D157" s="2" t="s">
        <v>40</v>
      </c>
      <c r="E157" s="2" t="s">
        <v>398</v>
      </c>
      <c r="F157" s="2" t="s">
        <v>399</v>
      </c>
      <c r="I157" s="2" t="s">
        <v>393</v>
      </c>
      <c r="K157" s="2" t="s">
        <v>44</v>
      </c>
      <c r="L157" s="2" t="s">
        <v>390</v>
      </c>
      <c r="N157" s="2" t="s">
        <v>287</v>
      </c>
      <c r="O157" s="2">
        <v>50.0</v>
      </c>
      <c r="P157" s="2" t="s">
        <v>47</v>
      </c>
      <c r="Q157" s="2" t="s">
        <v>400</v>
      </c>
      <c r="AI157" s="2" t="str">
        <f t="shared" si="1"/>
        <v/>
      </c>
      <c r="AJ157" s="2" t="s">
        <v>49</v>
      </c>
      <c r="AK157" s="2" t="s">
        <v>50</v>
      </c>
    </row>
    <row r="158" ht="15.75" customHeight="1">
      <c r="A158" s="2" t="s">
        <v>39</v>
      </c>
      <c r="B158" s="3" t="str">
        <f>HYPERLINK("https://www.senado.gob.ar/parlamentario/comisiones/verExp/1730.25/S/CO","1730")</f>
        <v>1730</v>
      </c>
      <c r="C158" s="3" t="str">
        <f>HYPERLINK("https://www.senado.gob.ar/parlamentario/comisiones/verExp/1730.25/S/CO","2025")</f>
        <v>2025</v>
      </c>
      <c r="D158" s="2" t="s">
        <v>40</v>
      </c>
      <c r="E158" s="2" t="s">
        <v>401</v>
      </c>
      <c r="F158" s="2" t="s">
        <v>399</v>
      </c>
      <c r="I158" s="2" t="s">
        <v>393</v>
      </c>
      <c r="K158" s="2" t="s">
        <v>44</v>
      </c>
      <c r="L158" s="2" t="s">
        <v>390</v>
      </c>
      <c r="N158" s="2" t="s">
        <v>137</v>
      </c>
      <c r="O158" s="2">
        <v>50.0</v>
      </c>
      <c r="P158" s="2" t="s">
        <v>47</v>
      </c>
      <c r="Q158" s="2" t="s">
        <v>400</v>
      </c>
      <c r="AI158" s="2" t="str">
        <f t="shared" si="1"/>
        <v/>
      </c>
      <c r="AJ158" s="2" t="s">
        <v>49</v>
      </c>
      <c r="AK158" s="2" t="s">
        <v>50</v>
      </c>
    </row>
    <row r="159" ht="15.75" customHeight="1">
      <c r="A159" s="2" t="s">
        <v>39</v>
      </c>
      <c r="B159" s="3" t="str">
        <f>HYPERLINK("https://www.senado.gob.ar/parlamentario/comisiones/verExp/1729.25/S/CO","1729")</f>
        <v>1729</v>
      </c>
      <c r="C159" s="3" t="str">
        <f>HYPERLINK("https://www.senado.gob.ar/parlamentario/comisiones/verExp/1729.25/S/CO","2025")</f>
        <v>2025</v>
      </c>
      <c r="D159" s="2" t="s">
        <v>40</v>
      </c>
      <c r="E159" s="2" t="s">
        <v>402</v>
      </c>
      <c r="F159" s="2" t="s">
        <v>399</v>
      </c>
      <c r="I159" s="2" t="s">
        <v>393</v>
      </c>
      <c r="K159" s="2" t="s">
        <v>44</v>
      </c>
      <c r="L159" s="2" t="s">
        <v>390</v>
      </c>
      <c r="N159" s="2" t="s">
        <v>403</v>
      </c>
      <c r="O159" s="2">
        <v>50.0</v>
      </c>
      <c r="P159" s="2" t="s">
        <v>47</v>
      </c>
      <c r="Q159" s="2" t="s">
        <v>400</v>
      </c>
      <c r="AI159" s="2" t="str">
        <f t="shared" si="1"/>
        <v/>
      </c>
      <c r="AJ159" s="2" t="s">
        <v>49</v>
      </c>
      <c r="AK159" s="2" t="s">
        <v>50</v>
      </c>
    </row>
    <row r="160" ht="15.75" customHeight="1">
      <c r="A160" s="2" t="s">
        <v>39</v>
      </c>
      <c r="B160" s="3" t="str">
        <f>HYPERLINK("https://www.senado.gob.ar/parlamentario/comisiones/verExp/1728.25/S/CO","1728")</f>
        <v>1728</v>
      </c>
      <c r="C160" s="3" t="str">
        <f>HYPERLINK("https://www.senado.gob.ar/parlamentario/comisiones/verExp/1728.25/S/CO","2025")</f>
        <v>2025</v>
      </c>
      <c r="D160" s="2" t="s">
        <v>40</v>
      </c>
      <c r="E160" s="2" t="s">
        <v>404</v>
      </c>
      <c r="F160" s="2" t="s">
        <v>399</v>
      </c>
      <c r="I160" s="2" t="s">
        <v>393</v>
      </c>
      <c r="K160" s="2" t="s">
        <v>44</v>
      </c>
      <c r="L160" s="2" t="s">
        <v>390</v>
      </c>
      <c r="N160" s="2" t="s">
        <v>261</v>
      </c>
      <c r="O160" s="2">
        <v>50.0</v>
      </c>
      <c r="P160" s="2" t="s">
        <v>47</v>
      </c>
      <c r="Q160" s="2" t="s">
        <v>400</v>
      </c>
      <c r="AI160" s="2" t="str">
        <f t="shared" si="1"/>
        <v/>
      </c>
      <c r="AJ160" s="2" t="s">
        <v>49</v>
      </c>
      <c r="AK160" s="2" t="s">
        <v>50</v>
      </c>
    </row>
    <row r="161" ht="15.75" customHeight="1">
      <c r="A161" s="2" t="s">
        <v>39</v>
      </c>
      <c r="B161" s="3" t="str">
        <f>HYPERLINK("https://www.senado.gob.ar/parlamentario/comisiones/verExp/1727.25/S/CO","1727")</f>
        <v>1727</v>
      </c>
      <c r="C161" s="3" t="str">
        <f>HYPERLINK("https://www.senado.gob.ar/parlamentario/comisiones/verExp/1727.25/S/CO","2025")</f>
        <v>2025</v>
      </c>
      <c r="D161" s="2" t="s">
        <v>40</v>
      </c>
      <c r="E161" s="2" t="s">
        <v>405</v>
      </c>
      <c r="F161" s="2" t="s">
        <v>399</v>
      </c>
      <c r="I161" s="2" t="s">
        <v>393</v>
      </c>
      <c r="K161" s="2" t="s">
        <v>44</v>
      </c>
      <c r="L161" s="2" t="s">
        <v>390</v>
      </c>
      <c r="N161" s="2" t="s">
        <v>386</v>
      </c>
      <c r="O161" s="2">
        <v>50.0</v>
      </c>
      <c r="P161" s="2" t="s">
        <v>47</v>
      </c>
      <c r="Q161" s="2" t="s">
        <v>400</v>
      </c>
      <c r="AI161" s="2" t="str">
        <f t="shared" si="1"/>
        <v/>
      </c>
      <c r="AJ161" s="2" t="s">
        <v>49</v>
      </c>
      <c r="AK161" s="2" t="s">
        <v>50</v>
      </c>
    </row>
    <row r="162" ht="15.75" customHeight="1">
      <c r="A162" s="2" t="s">
        <v>39</v>
      </c>
      <c r="B162" s="3" t="str">
        <f>HYPERLINK("https://www.senado.gob.ar/parlamentario/comisiones/verExp/1726.25/S/CO","1726")</f>
        <v>1726</v>
      </c>
      <c r="C162" s="3" t="str">
        <f>HYPERLINK("https://www.senado.gob.ar/parlamentario/comisiones/verExp/1726.25/S/CO","2025")</f>
        <v>2025</v>
      </c>
      <c r="D162" s="2" t="s">
        <v>40</v>
      </c>
      <c r="E162" s="2" t="s">
        <v>406</v>
      </c>
      <c r="F162" s="2" t="s">
        <v>399</v>
      </c>
      <c r="I162" s="2" t="s">
        <v>393</v>
      </c>
      <c r="K162" s="2" t="s">
        <v>44</v>
      </c>
      <c r="L162" s="2" t="s">
        <v>390</v>
      </c>
      <c r="N162" s="2" t="s">
        <v>407</v>
      </c>
      <c r="O162" s="2">
        <v>50.0</v>
      </c>
      <c r="P162" s="2" t="s">
        <v>47</v>
      </c>
      <c r="Q162" s="2" t="s">
        <v>400</v>
      </c>
      <c r="AI162" s="2" t="str">
        <f t="shared" si="1"/>
        <v/>
      </c>
      <c r="AJ162" s="2" t="s">
        <v>49</v>
      </c>
      <c r="AK162" s="2" t="s">
        <v>50</v>
      </c>
    </row>
    <row r="163" ht="15.75" customHeight="1">
      <c r="A163" s="2" t="s">
        <v>39</v>
      </c>
      <c r="B163" s="3" t="str">
        <f>HYPERLINK("https://www.senado.gob.ar/parlamentario/comisiones/verExp/1725.25/S/CO","1725")</f>
        <v>1725</v>
      </c>
      <c r="C163" s="3" t="str">
        <f>HYPERLINK("https://www.senado.gob.ar/parlamentario/comisiones/verExp/1725.25/S/CO","2025")</f>
        <v>2025</v>
      </c>
      <c r="D163" s="2" t="s">
        <v>40</v>
      </c>
      <c r="E163" s="2" t="s">
        <v>408</v>
      </c>
      <c r="F163" s="2" t="s">
        <v>399</v>
      </c>
      <c r="I163" s="2" t="s">
        <v>393</v>
      </c>
      <c r="K163" s="2" t="s">
        <v>44</v>
      </c>
      <c r="L163" s="2" t="s">
        <v>390</v>
      </c>
      <c r="N163" s="2" t="s">
        <v>409</v>
      </c>
      <c r="O163" s="2">
        <v>50.0</v>
      </c>
      <c r="P163" s="2" t="s">
        <v>47</v>
      </c>
      <c r="Q163" s="2" t="s">
        <v>400</v>
      </c>
      <c r="AI163" s="2" t="str">
        <f t="shared" si="1"/>
        <v/>
      </c>
      <c r="AJ163" s="2" t="s">
        <v>49</v>
      </c>
      <c r="AK163" s="2" t="s">
        <v>50</v>
      </c>
    </row>
    <row r="164" ht="15.75" customHeight="1">
      <c r="A164" s="2" t="s">
        <v>39</v>
      </c>
      <c r="B164" s="3" t="str">
        <f>HYPERLINK("https://www.senado.gob.ar/parlamentario/comisiones/verExp/1724.25/S/CO","1724")</f>
        <v>1724</v>
      </c>
      <c r="C164" s="3" t="str">
        <f>HYPERLINK("https://www.senado.gob.ar/parlamentario/comisiones/verExp/1724.25/S/CO","2025")</f>
        <v>2025</v>
      </c>
      <c r="D164" s="2" t="s">
        <v>40</v>
      </c>
      <c r="E164" s="2" t="s">
        <v>410</v>
      </c>
      <c r="F164" s="2" t="s">
        <v>399</v>
      </c>
      <c r="I164" s="2" t="s">
        <v>393</v>
      </c>
      <c r="K164" s="2" t="s">
        <v>44</v>
      </c>
      <c r="L164" s="2" t="s">
        <v>390</v>
      </c>
      <c r="N164" s="2" t="s">
        <v>377</v>
      </c>
      <c r="O164" s="2">
        <v>50.0</v>
      </c>
      <c r="P164" s="2" t="s">
        <v>47</v>
      </c>
      <c r="Q164" s="2" t="s">
        <v>400</v>
      </c>
      <c r="AI164" s="2" t="str">
        <f t="shared" si="1"/>
        <v/>
      </c>
      <c r="AJ164" s="2" t="s">
        <v>49</v>
      </c>
      <c r="AK164" s="2" t="s">
        <v>50</v>
      </c>
    </row>
    <row r="165" ht="15.75" customHeight="1">
      <c r="A165" s="2" t="s">
        <v>39</v>
      </c>
      <c r="B165" s="3" t="str">
        <f>HYPERLINK("https://www.senado.gob.ar/parlamentario/comisiones/verExp/1723.25/S/CO","1723")</f>
        <v>1723</v>
      </c>
      <c r="C165" s="3" t="str">
        <f>HYPERLINK("https://www.senado.gob.ar/parlamentario/comisiones/verExp/1723.25/S/CO","2025")</f>
        <v>2025</v>
      </c>
      <c r="D165" s="2" t="s">
        <v>40</v>
      </c>
      <c r="E165" s="2" t="s">
        <v>411</v>
      </c>
      <c r="F165" s="2" t="s">
        <v>399</v>
      </c>
      <c r="I165" s="2" t="s">
        <v>393</v>
      </c>
      <c r="K165" s="2" t="s">
        <v>44</v>
      </c>
      <c r="L165" s="2" t="s">
        <v>390</v>
      </c>
      <c r="N165" s="2" t="s">
        <v>380</v>
      </c>
      <c r="O165" s="2">
        <v>50.0</v>
      </c>
      <c r="P165" s="2" t="s">
        <v>47</v>
      </c>
      <c r="Q165" s="2" t="s">
        <v>400</v>
      </c>
      <c r="AI165" s="2" t="str">
        <f t="shared" si="1"/>
        <v/>
      </c>
      <c r="AJ165" s="2" t="s">
        <v>49</v>
      </c>
      <c r="AK165" s="2" t="s">
        <v>50</v>
      </c>
    </row>
    <row r="166" ht="15.75" customHeight="1">
      <c r="A166" s="2" t="s">
        <v>39</v>
      </c>
      <c r="B166" s="3" t="str">
        <f>HYPERLINK("https://www.senado.gob.ar/parlamentario/comisiones/verExp/1722.25/S/PL","1722")</f>
        <v>1722</v>
      </c>
      <c r="C166" s="3" t="str">
        <f>HYPERLINK("https://www.senado.gob.ar/parlamentario/comisiones/verExp/1722.25/S/PL","2025")</f>
        <v>2025</v>
      </c>
      <c r="D166" s="2" t="s">
        <v>56</v>
      </c>
      <c r="E166" s="2" t="s">
        <v>412</v>
      </c>
      <c r="F166" s="2" t="s">
        <v>413</v>
      </c>
      <c r="I166" s="2" t="s">
        <v>414</v>
      </c>
      <c r="K166" s="2" t="s">
        <v>44</v>
      </c>
      <c r="L166" s="2" t="s">
        <v>371</v>
      </c>
      <c r="N166" s="2" t="s">
        <v>415</v>
      </c>
      <c r="O166" s="2">
        <v>50.0</v>
      </c>
      <c r="P166" s="2" t="s">
        <v>47</v>
      </c>
      <c r="Q166" s="2" t="s">
        <v>383</v>
      </c>
      <c r="AI166" s="2" t="str">
        <f t="shared" si="1"/>
        <v/>
      </c>
      <c r="AJ166" s="2" t="s">
        <v>49</v>
      </c>
      <c r="AK166" s="2" t="s">
        <v>50</v>
      </c>
    </row>
    <row r="167" ht="15.75" customHeight="1">
      <c r="A167" s="2" t="s">
        <v>39</v>
      </c>
      <c r="B167" s="3" t="str">
        <f>HYPERLINK("https://www.senado.gob.ar/parlamentario/comisiones/verExp/1721.25/S/PR","1721")</f>
        <v>1721</v>
      </c>
      <c r="C167" s="3" t="str">
        <f>HYPERLINK("https://www.senado.gob.ar/parlamentario/comisiones/verExp/1721.25/S/PR","2025")</f>
        <v>2025</v>
      </c>
      <c r="D167" s="2" t="s">
        <v>145</v>
      </c>
      <c r="E167" s="2" t="s">
        <v>416</v>
      </c>
      <c r="F167" s="2" t="s">
        <v>413</v>
      </c>
      <c r="I167" s="2" t="s">
        <v>414</v>
      </c>
      <c r="K167" s="2" t="s">
        <v>44</v>
      </c>
      <c r="L167" s="2" t="s">
        <v>371</v>
      </c>
      <c r="N167" s="2" t="s">
        <v>372</v>
      </c>
      <c r="O167" s="2">
        <v>50.0</v>
      </c>
      <c r="P167" s="2" t="s">
        <v>47</v>
      </c>
      <c r="Q167" s="2" t="s">
        <v>383</v>
      </c>
      <c r="S167" s="2">
        <v>75.0</v>
      </c>
      <c r="T167" s="2" t="s">
        <v>71</v>
      </c>
      <c r="U167" s="2" t="s">
        <v>383</v>
      </c>
      <c r="AI167" s="2" t="str">
        <f t="shared" si="1"/>
        <v/>
      </c>
      <c r="AJ167" s="2" t="s">
        <v>49</v>
      </c>
      <c r="AK167" s="2" t="s">
        <v>50</v>
      </c>
    </row>
    <row r="168" ht="15.75" customHeight="1">
      <c r="A168" s="2" t="s">
        <v>39</v>
      </c>
      <c r="B168" s="3" t="str">
        <f>HYPERLINK("https://www.senado.gob.ar/parlamentario/comisiones/verExp/1719.25/S/PL","1719")</f>
        <v>1719</v>
      </c>
      <c r="C168" s="3" t="str">
        <f>HYPERLINK("https://www.senado.gob.ar/parlamentario/comisiones/verExp/1719.25/S/PL","2025")</f>
        <v>2025</v>
      </c>
      <c r="D168" s="2" t="s">
        <v>56</v>
      </c>
      <c r="E168" s="2" t="s">
        <v>417</v>
      </c>
      <c r="F168" s="2" t="s">
        <v>413</v>
      </c>
      <c r="I168" s="2" t="s">
        <v>414</v>
      </c>
      <c r="K168" s="2" t="s">
        <v>44</v>
      </c>
      <c r="L168" s="2" t="s">
        <v>371</v>
      </c>
      <c r="N168" s="2" t="s">
        <v>160</v>
      </c>
      <c r="O168" s="2">
        <v>67.0</v>
      </c>
      <c r="P168" s="2" t="s">
        <v>84</v>
      </c>
      <c r="Q168" s="2" t="s">
        <v>383</v>
      </c>
      <c r="AI168" s="2" t="str">
        <f t="shared" si="1"/>
        <v/>
      </c>
      <c r="AJ168" s="2" t="s">
        <v>49</v>
      </c>
      <c r="AK168" s="2" t="s">
        <v>50</v>
      </c>
    </row>
    <row r="169" ht="15.75" customHeight="1">
      <c r="A169" s="2" t="s">
        <v>39</v>
      </c>
      <c r="B169" s="3" t="str">
        <f>HYPERLINK("https://www.senado.gob.ar/parlamentario/comisiones/verExp/1718.25/S/PL","1718")</f>
        <v>1718</v>
      </c>
      <c r="C169" s="3" t="str">
        <f>HYPERLINK("https://www.senado.gob.ar/parlamentario/comisiones/verExp/1718.25/S/PL","2025")</f>
        <v>2025</v>
      </c>
      <c r="D169" s="2" t="s">
        <v>56</v>
      </c>
      <c r="E169" s="2" t="s">
        <v>418</v>
      </c>
      <c r="F169" s="2" t="s">
        <v>413</v>
      </c>
      <c r="I169" s="2" t="s">
        <v>414</v>
      </c>
      <c r="K169" s="2" t="s">
        <v>44</v>
      </c>
      <c r="L169" s="2" t="s">
        <v>371</v>
      </c>
      <c r="N169" s="2" t="s">
        <v>160</v>
      </c>
      <c r="O169" s="2">
        <v>61.0</v>
      </c>
      <c r="P169" s="2" t="s">
        <v>104</v>
      </c>
      <c r="Q169" s="2" t="s">
        <v>383</v>
      </c>
      <c r="AI169" s="2" t="str">
        <f t="shared" si="1"/>
        <v/>
      </c>
      <c r="AJ169" s="2" t="s">
        <v>49</v>
      </c>
      <c r="AK169" s="2" t="s">
        <v>50</v>
      </c>
    </row>
    <row r="170" ht="15.75" customHeight="1">
      <c r="A170" s="2" t="s">
        <v>39</v>
      </c>
      <c r="B170" s="3" t="str">
        <f>HYPERLINK("https://www.senado.gob.ar/parlamentario/comisiones/verExp/1717.25/S/PL","1717")</f>
        <v>1717</v>
      </c>
      <c r="C170" s="3" t="str">
        <f>HYPERLINK("https://www.senado.gob.ar/parlamentario/comisiones/verExp/1717.25/S/PL","2025")</f>
        <v>2025</v>
      </c>
      <c r="D170" s="2" t="s">
        <v>56</v>
      </c>
      <c r="E170" s="2" t="s">
        <v>419</v>
      </c>
      <c r="F170" s="2" t="s">
        <v>420</v>
      </c>
      <c r="I170" s="2" t="s">
        <v>414</v>
      </c>
      <c r="K170" s="2" t="s">
        <v>44</v>
      </c>
      <c r="L170" s="2" t="s">
        <v>371</v>
      </c>
      <c r="N170" s="2" t="s">
        <v>160</v>
      </c>
      <c r="O170" s="2">
        <v>78.0</v>
      </c>
      <c r="P170" s="2" t="s">
        <v>73</v>
      </c>
      <c r="Q170" s="2" t="s">
        <v>383</v>
      </c>
      <c r="S170" s="2">
        <v>61.0</v>
      </c>
      <c r="T170" s="2" t="s">
        <v>104</v>
      </c>
      <c r="U170" s="2" t="s">
        <v>383</v>
      </c>
      <c r="AI170" s="2" t="str">
        <f t="shared" si="1"/>
        <v/>
      </c>
      <c r="AJ170" s="2" t="s">
        <v>49</v>
      </c>
      <c r="AK170" s="2" t="s">
        <v>50</v>
      </c>
    </row>
    <row r="171" ht="15.75" customHeight="1">
      <c r="A171" s="2" t="s">
        <v>39</v>
      </c>
      <c r="B171" s="3" t="str">
        <f>HYPERLINK("https://www.senado.gob.ar/parlamentario/comisiones/verExp/1716.25/S/PL","1716")</f>
        <v>1716</v>
      </c>
      <c r="C171" s="3" t="str">
        <f>HYPERLINK("https://www.senado.gob.ar/parlamentario/comisiones/verExp/1716.25/S/PL","2025")</f>
        <v>2025</v>
      </c>
      <c r="D171" s="2" t="s">
        <v>56</v>
      </c>
      <c r="E171" s="2" t="s">
        <v>421</v>
      </c>
      <c r="F171" s="2" t="s">
        <v>420</v>
      </c>
      <c r="I171" s="2" t="s">
        <v>414</v>
      </c>
      <c r="K171" s="2" t="s">
        <v>44</v>
      </c>
      <c r="L171" s="2" t="s">
        <v>371</v>
      </c>
      <c r="N171" s="2" t="s">
        <v>160</v>
      </c>
      <c r="O171" s="2">
        <v>78.0</v>
      </c>
      <c r="P171" s="2" t="s">
        <v>73</v>
      </c>
      <c r="Q171" s="2" t="s">
        <v>383</v>
      </c>
      <c r="S171" s="2">
        <v>68.0</v>
      </c>
      <c r="T171" s="2" t="s">
        <v>180</v>
      </c>
      <c r="U171" s="2" t="s">
        <v>383</v>
      </c>
      <c r="W171" s="2">
        <v>54.0</v>
      </c>
      <c r="X171" s="2" t="s">
        <v>65</v>
      </c>
      <c r="Y171" s="2" t="s">
        <v>383</v>
      </c>
      <c r="AI171" s="2" t="str">
        <f t="shared" si="1"/>
        <v/>
      </c>
      <c r="AJ171" s="2" t="s">
        <v>49</v>
      </c>
      <c r="AK171" s="2" t="s">
        <v>50</v>
      </c>
    </row>
    <row r="172" ht="15.75" customHeight="1">
      <c r="A172" s="2" t="s">
        <v>39</v>
      </c>
      <c r="B172" s="3" t="str">
        <f>HYPERLINK("https://www.senado.gob.ar/parlamentario/comisiones/verExp/1715.25/S/PL","1715")</f>
        <v>1715</v>
      </c>
      <c r="C172" s="3" t="str">
        <f>HYPERLINK("https://www.senado.gob.ar/parlamentario/comisiones/verExp/1715.25/S/PL","2025")</f>
        <v>2025</v>
      </c>
      <c r="D172" s="2" t="s">
        <v>56</v>
      </c>
      <c r="E172" s="2" t="s">
        <v>422</v>
      </c>
      <c r="F172" s="2" t="s">
        <v>420</v>
      </c>
      <c r="I172" s="2" t="s">
        <v>414</v>
      </c>
      <c r="K172" s="2" t="s">
        <v>44</v>
      </c>
      <c r="L172" s="2" t="s">
        <v>371</v>
      </c>
      <c r="N172" s="2" t="s">
        <v>160</v>
      </c>
      <c r="O172" s="2">
        <v>52.0</v>
      </c>
      <c r="P172" s="2" t="s">
        <v>78</v>
      </c>
      <c r="Q172" s="2" t="s">
        <v>383</v>
      </c>
      <c r="AI172" s="2" t="str">
        <f t="shared" si="1"/>
        <v/>
      </c>
      <c r="AJ172" s="2" t="s">
        <v>49</v>
      </c>
      <c r="AK172" s="2" t="s">
        <v>50</v>
      </c>
    </row>
    <row r="173" ht="15.75" customHeight="1">
      <c r="A173" s="2" t="s">
        <v>39</v>
      </c>
      <c r="B173" s="3" t="str">
        <f>HYPERLINK("https://www.senado.gob.ar/parlamentario/comisiones/verExp/1714.25/S/PL","1714")</f>
        <v>1714</v>
      </c>
      <c r="C173" s="3" t="str">
        <f>HYPERLINK("https://www.senado.gob.ar/parlamentario/comisiones/verExp/1714.25/S/PL","2025")</f>
        <v>2025</v>
      </c>
      <c r="D173" s="2" t="s">
        <v>56</v>
      </c>
      <c r="E173" s="2" t="s">
        <v>423</v>
      </c>
      <c r="F173" s="2" t="s">
        <v>420</v>
      </c>
      <c r="I173" s="2" t="s">
        <v>414</v>
      </c>
      <c r="K173" s="2" t="s">
        <v>44</v>
      </c>
      <c r="L173" s="2" t="s">
        <v>371</v>
      </c>
      <c r="N173" s="2" t="s">
        <v>160</v>
      </c>
      <c r="O173" s="2">
        <v>52.0</v>
      </c>
      <c r="P173" s="2" t="s">
        <v>78</v>
      </c>
      <c r="Q173" s="2" t="s">
        <v>383</v>
      </c>
      <c r="AI173" s="2" t="str">
        <f t="shared" si="1"/>
        <v/>
      </c>
      <c r="AJ173" s="2" t="s">
        <v>49</v>
      </c>
      <c r="AK173" s="2" t="s">
        <v>50</v>
      </c>
    </row>
    <row r="174" ht="15.75" customHeight="1">
      <c r="A174" s="2" t="s">
        <v>39</v>
      </c>
      <c r="B174" s="3" t="str">
        <f>HYPERLINK("https://www.senado.gob.ar/parlamentario/comisiones/verExp/1712.25/S/PL","1712")</f>
        <v>1712</v>
      </c>
      <c r="C174" s="3" t="str">
        <f>HYPERLINK("https://www.senado.gob.ar/parlamentario/comisiones/verExp/1712.25/S/PL","2025")</f>
        <v>2025</v>
      </c>
      <c r="D174" s="2" t="s">
        <v>56</v>
      </c>
      <c r="E174" s="2" t="s">
        <v>424</v>
      </c>
      <c r="F174" s="2" t="s">
        <v>420</v>
      </c>
      <c r="I174" s="2" t="s">
        <v>414</v>
      </c>
      <c r="K174" s="2" t="s">
        <v>44</v>
      </c>
      <c r="L174" s="2" t="s">
        <v>371</v>
      </c>
      <c r="N174" s="2" t="s">
        <v>425</v>
      </c>
      <c r="O174" s="2">
        <v>53.0</v>
      </c>
      <c r="P174" s="2" t="s">
        <v>76</v>
      </c>
      <c r="Q174" s="2" t="s">
        <v>383</v>
      </c>
      <c r="S174" s="2">
        <v>74.0</v>
      </c>
      <c r="T174" s="2" t="s">
        <v>256</v>
      </c>
      <c r="U174" s="2" t="s">
        <v>383</v>
      </c>
      <c r="W174" s="2">
        <v>54.0</v>
      </c>
      <c r="X174" s="2" t="s">
        <v>65</v>
      </c>
      <c r="Y174" s="2" t="s">
        <v>383</v>
      </c>
      <c r="AI174" s="2" t="str">
        <f t="shared" si="1"/>
        <v/>
      </c>
      <c r="AJ174" s="2" t="s">
        <v>49</v>
      </c>
      <c r="AK174" s="2" t="s">
        <v>50</v>
      </c>
    </row>
    <row r="175" ht="15.75" customHeight="1">
      <c r="A175" s="2" t="s">
        <v>39</v>
      </c>
      <c r="B175" s="3" t="str">
        <f>HYPERLINK("https://www.senado.gob.ar/parlamentario/comisiones/verExp/1709.25/S/PL","1709")</f>
        <v>1709</v>
      </c>
      <c r="C175" s="3" t="str">
        <f>HYPERLINK("https://www.senado.gob.ar/parlamentario/comisiones/verExp/1709.25/S/PL","2025")</f>
        <v>2025</v>
      </c>
      <c r="D175" s="2" t="s">
        <v>56</v>
      </c>
      <c r="E175" s="2" t="s">
        <v>426</v>
      </c>
      <c r="F175" s="2" t="s">
        <v>420</v>
      </c>
      <c r="I175" s="2" t="s">
        <v>414</v>
      </c>
      <c r="K175" s="2" t="s">
        <v>44</v>
      </c>
      <c r="L175" s="2" t="s">
        <v>371</v>
      </c>
      <c r="N175" s="2" t="s">
        <v>427</v>
      </c>
      <c r="O175" s="2">
        <v>50.0</v>
      </c>
      <c r="P175" s="2" t="s">
        <v>47</v>
      </c>
      <c r="Q175" s="2" t="s">
        <v>383</v>
      </c>
      <c r="S175" s="2">
        <v>52.0</v>
      </c>
      <c r="T175" s="2" t="s">
        <v>78</v>
      </c>
      <c r="U175" s="2" t="s">
        <v>383</v>
      </c>
      <c r="AI175" s="2" t="str">
        <f t="shared" si="1"/>
        <v/>
      </c>
      <c r="AJ175" s="2" t="s">
        <v>49</v>
      </c>
      <c r="AK175" s="2" t="s">
        <v>50</v>
      </c>
    </row>
    <row r="176" ht="15.75" customHeight="1">
      <c r="A176" s="2" t="s">
        <v>39</v>
      </c>
      <c r="B176" s="3" t="str">
        <f>HYPERLINK("https://www.senado.gob.ar/parlamentario/comisiones/verExp/1698.25/S/PL","1698")</f>
        <v>1698</v>
      </c>
      <c r="C176" s="3" t="str">
        <f>HYPERLINK("https://www.senado.gob.ar/parlamentario/comisiones/verExp/1698.25/S/PL","2025")</f>
        <v>2025</v>
      </c>
      <c r="D176" s="2" t="s">
        <v>56</v>
      </c>
      <c r="E176" s="2" t="s">
        <v>428</v>
      </c>
      <c r="F176" s="2" t="s">
        <v>420</v>
      </c>
      <c r="I176" s="2" t="s">
        <v>414</v>
      </c>
      <c r="K176" s="2" t="s">
        <v>44</v>
      </c>
      <c r="L176" s="2" t="s">
        <v>371</v>
      </c>
      <c r="N176" s="2" t="s">
        <v>46</v>
      </c>
      <c r="O176" s="2">
        <v>67.0</v>
      </c>
      <c r="P176" s="2" t="s">
        <v>84</v>
      </c>
      <c r="Q176" s="2" t="s">
        <v>383</v>
      </c>
      <c r="S176" s="2">
        <v>56.0</v>
      </c>
      <c r="T176" s="2" t="s">
        <v>262</v>
      </c>
      <c r="U176" s="2" t="s">
        <v>383</v>
      </c>
      <c r="W176" s="2">
        <v>54.0</v>
      </c>
      <c r="X176" s="2" t="s">
        <v>65</v>
      </c>
      <c r="Y176" s="2" t="s">
        <v>383</v>
      </c>
      <c r="AI176" s="2" t="str">
        <f t="shared" si="1"/>
        <v/>
      </c>
      <c r="AJ176" s="2" t="s">
        <v>49</v>
      </c>
      <c r="AK176" s="2" t="s">
        <v>50</v>
      </c>
    </row>
    <row r="177" ht="15.75" customHeight="1">
      <c r="A177" s="2" t="s">
        <v>39</v>
      </c>
      <c r="B177" s="3" t="str">
        <f>HYPERLINK("https://www.senado.gob.ar/parlamentario/comisiones/verExp/1697.25/S/PR","1697")</f>
        <v>1697</v>
      </c>
      <c r="C177" s="3" t="str">
        <f>HYPERLINK("https://www.senado.gob.ar/parlamentario/comisiones/verExp/1697.25/S/PR","2025")</f>
        <v>2025</v>
      </c>
      <c r="D177" s="2" t="s">
        <v>145</v>
      </c>
      <c r="E177" s="2" t="s">
        <v>429</v>
      </c>
      <c r="F177" s="2" t="s">
        <v>430</v>
      </c>
      <c r="I177" s="2" t="s">
        <v>414</v>
      </c>
      <c r="K177" s="2" t="s">
        <v>44</v>
      </c>
      <c r="L177" s="2" t="s">
        <v>371</v>
      </c>
      <c r="M177" s="2" t="s">
        <v>431</v>
      </c>
      <c r="N177" s="2" t="s">
        <v>432</v>
      </c>
      <c r="O177" s="2">
        <v>50.0</v>
      </c>
      <c r="P177" s="2" t="s">
        <v>47</v>
      </c>
      <c r="Q177" s="2" t="s">
        <v>383</v>
      </c>
      <c r="S177" s="2">
        <v>62.0</v>
      </c>
      <c r="T177" s="2" t="s">
        <v>205</v>
      </c>
      <c r="U177" s="2" t="s">
        <v>383</v>
      </c>
      <c r="AI177" s="2" t="str">
        <f t="shared" si="1"/>
        <v/>
      </c>
      <c r="AJ177" s="2" t="s">
        <v>49</v>
      </c>
      <c r="AK177" s="2" t="s">
        <v>50</v>
      </c>
    </row>
    <row r="178" ht="15.75" customHeight="1">
      <c r="A178" s="2" t="s">
        <v>39</v>
      </c>
      <c r="B178" s="3" t="str">
        <f>HYPERLINK("https://www.senado.gob.ar/parlamentario/comisiones/verExp/1696.25/S/PL","1696")</f>
        <v>1696</v>
      </c>
      <c r="C178" s="3" t="str">
        <f>HYPERLINK("https://www.senado.gob.ar/parlamentario/comisiones/verExp/1696.25/S/PL","2025")</f>
        <v>2025</v>
      </c>
      <c r="D178" s="2" t="s">
        <v>56</v>
      </c>
      <c r="E178" s="2" t="s">
        <v>433</v>
      </c>
      <c r="F178" s="2" t="s">
        <v>430</v>
      </c>
      <c r="I178" s="2" t="s">
        <v>434</v>
      </c>
      <c r="K178" s="2" t="s">
        <v>44</v>
      </c>
      <c r="L178" s="2" t="s">
        <v>371</v>
      </c>
      <c r="N178" s="2" t="s">
        <v>435</v>
      </c>
      <c r="O178" s="2">
        <v>50.0</v>
      </c>
      <c r="P178" s="2" t="s">
        <v>47</v>
      </c>
      <c r="Q178" s="2" t="s">
        <v>383</v>
      </c>
      <c r="S178" s="2">
        <v>75.0</v>
      </c>
      <c r="T178" s="2" t="s">
        <v>71</v>
      </c>
      <c r="U178" s="2" t="s">
        <v>383</v>
      </c>
      <c r="AI178" s="2" t="str">
        <f t="shared" si="1"/>
        <v/>
      </c>
      <c r="AJ178" s="2" t="s">
        <v>49</v>
      </c>
      <c r="AK178" s="2" t="s">
        <v>50</v>
      </c>
    </row>
    <row r="179" ht="15.75" customHeight="1">
      <c r="A179" s="2" t="s">
        <v>39</v>
      </c>
      <c r="B179" s="3" t="str">
        <f>HYPERLINK("https://www.senado.gob.ar/parlamentario/comisiones/verExp/1695.25/S/PL","1695")</f>
        <v>1695</v>
      </c>
      <c r="C179" s="3" t="str">
        <f>HYPERLINK("https://www.senado.gob.ar/parlamentario/comisiones/verExp/1695.25/S/PL","2025")</f>
        <v>2025</v>
      </c>
      <c r="D179" s="2" t="s">
        <v>56</v>
      </c>
      <c r="E179" s="2" t="s">
        <v>436</v>
      </c>
      <c r="F179" s="2" t="s">
        <v>430</v>
      </c>
      <c r="I179" s="2" t="s">
        <v>434</v>
      </c>
      <c r="K179" s="2" t="s">
        <v>44</v>
      </c>
      <c r="L179" s="2" t="s">
        <v>371</v>
      </c>
      <c r="N179" s="2" t="s">
        <v>437</v>
      </c>
      <c r="O179" s="2">
        <v>65.0</v>
      </c>
      <c r="P179" s="2" t="s">
        <v>153</v>
      </c>
      <c r="Q179" s="2" t="s">
        <v>383</v>
      </c>
      <c r="S179" s="2">
        <v>54.0</v>
      </c>
      <c r="T179" s="2" t="s">
        <v>65</v>
      </c>
      <c r="U179" s="2" t="s">
        <v>383</v>
      </c>
      <c r="W179" s="2">
        <v>52.0</v>
      </c>
      <c r="X179" s="2" t="s">
        <v>78</v>
      </c>
      <c r="Y179" s="2" t="s">
        <v>383</v>
      </c>
      <c r="AI179" s="2" t="str">
        <f t="shared" si="1"/>
        <v/>
      </c>
      <c r="AJ179" s="2" t="s">
        <v>49</v>
      </c>
      <c r="AK179" s="2" t="s">
        <v>50</v>
      </c>
    </row>
    <row r="180" ht="15.75" customHeight="1">
      <c r="A180" s="2" t="s">
        <v>39</v>
      </c>
      <c r="B180" s="3" t="str">
        <f>HYPERLINK("https://www.senado.gob.ar/parlamentario/comisiones/verExp/1694.25/S/PL","1694")</f>
        <v>1694</v>
      </c>
      <c r="C180" s="3" t="str">
        <f>HYPERLINK("https://www.senado.gob.ar/parlamentario/comisiones/verExp/1694.25/S/PL","2025")</f>
        <v>2025</v>
      </c>
      <c r="D180" s="2" t="s">
        <v>56</v>
      </c>
      <c r="E180" s="2" t="s">
        <v>438</v>
      </c>
      <c r="F180" s="2" t="s">
        <v>430</v>
      </c>
      <c r="I180" s="2" t="s">
        <v>434</v>
      </c>
      <c r="K180" s="2" t="s">
        <v>44</v>
      </c>
      <c r="L180" s="2" t="s">
        <v>371</v>
      </c>
      <c r="N180" s="2" t="s">
        <v>437</v>
      </c>
      <c r="O180" s="2">
        <v>50.0</v>
      </c>
      <c r="P180" s="2" t="s">
        <v>47</v>
      </c>
      <c r="Q180" s="2" t="s">
        <v>383</v>
      </c>
      <c r="S180" s="2">
        <v>53.0</v>
      </c>
      <c r="T180" s="2" t="s">
        <v>76</v>
      </c>
      <c r="U180" s="2" t="s">
        <v>383</v>
      </c>
      <c r="W180" s="2">
        <v>64.0</v>
      </c>
      <c r="X180" s="2" t="s">
        <v>186</v>
      </c>
      <c r="Y180" s="2" t="s">
        <v>383</v>
      </c>
      <c r="AI180" s="2" t="str">
        <f t="shared" si="1"/>
        <v/>
      </c>
      <c r="AJ180" s="2" t="s">
        <v>49</v>
      </c>
      <c r="AK180" s="2" t="s">
        <v>50</v>
      </c>
    </row>
    <row r="181" ht="15.75" customHeight="1">
      <c r="A181" s="2" t="s">
        <v>39</v>
      </c>
      <c r="B181" s="3" t="str">
        <f>HYPERLINK("https://www.senado.gob.ar/parlamentario/comisiones/verExp/1693.25/S/PL","1693")</f>
        <v>1693</v>
      </c>
      <c r="C181" s="3" t="str">
        <f>HYPERLINK("https://www.senado.gob.ar/parlamentario/comisiones/verExp/1693.25/S/PL","2025")</f>
        <v>2025</v>
      </c>
      <c r="D181" s="2" t="s">
        <v>56</v>
      </c>
      <c r="E181" s="2" t="s">
        <v>439</v>
      </c>
      <c r="F181" s="2" t="s">
        <v>430</v>
      </c>
      <c r="I181" s="2" t="s">
        <v>434</v>
      </c>
      <c r="K181" s="2" t="s">
        <v>44</v>
      </c>
      <c r="L181" s="2" t="s">
        <v>371</v>
      </c>
      <c r="N181" s="2" t="s">
        <v>437</v>
      </c>
      <c r="O181" s="2">
        <v>50.0</v>
      </c>
      <c r="P181" s="2" t="s">
        <v>47</v>
      </c>
      <c r="Q181" s="2" t="s">
        <v>383</v>
      </c>
      <c r="S181" s="2">
        <v>52.0</v>
      </c>
      <c r="T181" s="2" t="s">
        <v>78</v>
      </c>
      <c r="U181" s="2" t="s">
        <v>383</v>
      </c>
      <c r="AI181" s="2" t="str">
        <f t="shared" si="1"/>
        <v/>
      </c>
      <c r="AJ181" s="2" t="s">
        <v>49</v>
      </c>
      <c r="AK181" s="2" t="s">
        <v>50</v>
      </c>
    </row>
    <row r="182" ht="15.75" customHeight="1">
      <c r="A182" s="2" t="s">
        <v>39</v>
      </c>
      <c r="B182" s="3" t="str">
        <f>HYPERLINK("https://www.senado.gob.ar/parlamentario/comisiones/verExp/1688.25/S/PL","1688")</f>
        <v>1688</v>
      </c>
      <c r="C182" s="3" t="str">
        <f>HYPERLINK("https://www.senado.gob.ar/parlamentario/comisiones/verExp/1688.25/S/PL","2025")</f>
        <v>2025</v>
      </c>
      <c r="D182" s="2" t="s">
        <v>56</v>
      </c>
      <c r="E182" s="2" t="s">
        <v>440</v>
      </c>
      <c r="F182" s="2" t="s">
        <v>430</v>
      </c>
      <c r="I182" s="2" t="s">
        <v>434</v>
      </c>
      <c r="K182" s="2" t="s">
        <v>44</v>
      </c>
      <c r="L182" s="2" t="s">
        <v>371</v>
      </c>
      <c r="N182" s="2" t="s">
        <v>441</v>
      </c>
      <c r="O182" s="2">
        <v>70.0</v>
      </c>
      <c r="P182" s="2" t="s">
        <v>166</v>
      </c>
      <c r="Q182" s="2" t="s">
        <v>383</v>
      </c>
      <c r="AI182" s="2" t="str">
        <f t="shared" si="1"/>
        <v/>
      </c>
      <c r="AJ182" s="2" t="s">
        <v>49</v>
      </c>
      <c r="AK182" s="2" t="s">
        <v>50</v>
      </c>
    </row>
    <row r="183" ht="15.75" customHeight="1">
      <c r="A183" s="2" t="s">
        <v>39</v>
      </c>
      <c r="B183" s="3" t="str">
        <f>HYPERLINK("https://www.senado.gob.ar/parlamentario/comisiones/verExp/1687.25/S/PL","1687")</f>
        <v>1687</v>
      </c>
      <c r="C183" s="3" t="str">
        <f>HYPERLINK("https://www.senado.gob.ar/parlamentario/comisiones/verExp/1687.25/S/PL","2025")</f>
        <v>2025</v>
      </c>
      <c r="D183" s="2" t="s">
        <v>56</v>
      </c>
      <c r="E183" s="2" t="s">
        <v>442</v>
      </c>
      <c r="F183" s="2" t="s">
        <v>430</v>
      </c>
      <c r="I183" s="2" t="s">
        <v>434</v>
      </c>
      <c r="K183" s="2" t="s">
        <v>44</v>
      </c>
      <c r="L183" s="2" t="s">
        <v>371</v>
      </c>
      <c r="N183" s="2" t="s">
        <v>69</v>
      </c>
      <c r="O183" s="2">
        <v>55.0</v>
      </c>
      <c r="P183" s="2" t="s">
        <v>336</v>
      </c>
      <c r="Q183" s="2" t="s">
        <v>383</v>
      </c>
      <c r="S183" s="2">
        <v>54.0</v>
      </c>
      <c r="T183" s="2" t="s">
        <v>65</v>
      </c>
      <c r="U183" s="2" t="s">
        <v>383</v>
      </c>
      <c r="AI183" s="2" t="str">
        <f t="shared" si="1"/>
        <v/>
      </c>
      <c r="AJ183" s="2" t="s">
        <v>49</v>
      </c>
      <c r="AK183" s="2" t="s">
        <v>50</v>
      </c>
    </row>
    <row r="184" ht="15.75" customHeight="1">
      <c r="A184" s="2" t="s">
        <v>39</v>
      </c>
      <c r="B184" s="3" t="str">
        <f>HYPERLINK("https://www.senado.gob.ar/parlamentario/comisiones/verExp/1681.25/S/CO","1681")</f>
        <v>1681</v>
      </c>
      <c r="C184" s="3" t="str">
        <f>HYPERLINK("https://www.senado.gob.ar/parlamentario/comisiones/verExp/1681.25/S/CO","2025")</f>
        <v>2025</v>
      </c>
      <c r="D184" s="2" t="s">
        <v>40</v>
      </c>
      <c r="E184" s="2" t="s">
        <v>443</v>
      </c>
      <c r="F184" s="2" t="s">
        <v>399</v>
      </c>
      <c r="I184" s="2" t="s">
        <v>444</v>
      </c>
      <c r="K184" s="2" t="s">
        <v>44</v>
      </c>
      <c r="L184" s="2" t="s">
        <v>444</v>
      </c>
      <c r="N184" s="2" t="s">
        <v>445</v>
      </c>
      <c r="O184" s="2">
        <v>52.0</v>
      </c>
      <c r="P184" s="2" t="s">
        <v>78</v>
      </c>
      <c r="Q184" s="2" t="s">
        <v>446</v>
      </c>
      <c r="AI184" s="2" t="str">
        <f t="shared" si="1"/>
        <v/>
      </c>
      <c r="AJ184" s="2" t="s">
        <v>49</v>
      </c>
      <c r="AK184" s="2" t="s">
        <v>50</v>
      </c>
    </row>
    <row r="185" ht="15.75" customHeight="1">
      <c r="A185" s="2" t="s">
        <v>39</v>
      </c>
      <c r="B185" s="3" t="str">
        <f>HYPERLINK("https://www.senado.gob.ar/parlamentario/comisiones/verExp/1680.25/S/PL","1680")</f>
        <v>1680</v>
      </c>
      <c r="C185" s="3" t="str">
        <f>HYPERLINK("https://www.senado.gob.ar/parlamentario/comisiones/verExp/1680.25/S/PL","2025")</f>
        <v>2025</v>
      </c>
      <c r="D185" s="2" t="s">
        <v>56</v>
      </c>
      <c r="E185" s="2" t="s">
        <v>447</v>
      </c>
      <c r="F185" s="2" t="s">
        <v>448</v>
      </c>
      <c r="I185" s="2" t="s">
        <v>444</v>
      </c>
      <c r="K185" s="2" t="s">
        <v>44</v>
      </c>
      <c r="L185" s="2" t="s">
        <v>414</v>
      </c>
      <c r="N185" s="2" t="s">
        <v>449</v>
      </c>
      <c r="O185" s="2">
        <v>65.0</v>
      </c>
      <c r="P185" s="2" t="s">
        <v>153</v>
      </c>
      <c r="Q185" s="2" t="s">
        <v>450</v>
      </c>
      <c r="S185" s="2">
        <v>74.0</v>
      </c>
      <c r="T185" s="2" t="s">
        <v>256</v>
      </c>
      <c r="U185" s="2" t="s">
        <v>450</v>
      </c>
      <c r="AI185" s="2" t="str">
        <f t="shared" si="1"/>
        <v/>
      </c>
      <c r="AJ185" s="2" t="s">
        <v>49</v>
      </c>
      <c r="AK185" s="2" t="s">
        <v>50</v>
      </c>
    </row>
    <row r="186" ht="15.75" customHeight="1">
      <c r="A186" s="2" t="s">
        <v>39</v>
      </c>
      <c r="B186" s="3" t="str">
        <f>HYPERLINK("https://www.senado.gob.ar/parlamentario/comisiones/verExp/1678.25/S/PL","1678")</f>
        <v>1678</v>
      </c>
      <c r="C186" s="3" t="str">
        <f>HYPERLINK("https://www.senado.gob.ar/parlamentario/comisiones/verExp/1678.25/S/PL","2025")</f>
        <v>2025</v>
      </c>
      <c r="D186" s="2" t="s">
        <v>56</v>
      </c>
      <c r="E186" s="2" t="s">
        <v>451</v>
      </c>
      <c r="F186" s="2" t="s">
        <v>430</v>
      </c>
      <c r="I186" s="2" t="s">
        <v>452</v>
      </c>
      <c r="K186" s="2" t="s">
        <v>44</v>
      </c>
      <c r="L186" s="2" t="s">
        <v>371</v>
      </c>
      <c r="N186" s="2" t="s">
        <v>453</v>
      </c>
      <c r="O186" s="2">
        <v>50.0</v>
      </c>
      <c r="P186" s="2" t="s">
        <v>47</v>
      </c>
      <c r="Q186" s="2" t="s">
        <v>383</v>
      </c>
      <c r="S186" s="2">
        <v>59.0</v>
      </c>
      <c r="T186" s="2" t="s">
        <v>220</v>
      </c>
      <c r="U186" s="2" t="s">
        <v>383</v>
      </c>
      <c r="AI186" s="2" t="str">
        <f t="shared" si="1"/>
        <v/>
      </c>
      <c r="AJ186" s="2" t="s">
        <v>49</v>
      </c>
      <c r="AK186" s="2" t="s">
        <v>50</v>
      </c>
    </row>
    <row r="187" ht="15.75" customHeight="1">
      <c r="A187" s="2" t="s">
        <v>39</v>
      </c>
      <c r="B187" s="3" t="str">
        <f>HYPERLINK("https://www.senado.gob.ar/parlamentario/comisiones/verExp/1670.25/S/CO","1670")</f>
        <v>1670</v>
      </c>
      <c r="C187" s="3" t="str">
        <f>HYPERLINK("https://www.senado.gob.ar/parlamentario/comisiones/verExp/1670.25/S/CO","2025")</f>
        <v>2025</v>
      </c>
      <c r="D187" s="2" t="s">
        <v>40</v>
      </c>
      <c r="E187" s="2" t="s">
        <v>454</v>
      </c>
      <c r="F187" s="2" t="s">
        <v>399</v>
      </c>
      <c r="I187" s="2" t="s">
        <v>455</v>
      </c>
      <c r="K187" s="2" t="s">
        <v>44</v>
      </c>
      <c r="L187" s="2" t="s">
        <v>444</v>
      </c>
      <c r="N187" s="2" t="s">
        <v>160</v>
      </c>
      <c r="O187" s="2">
        <v>52.0</v>
      </c>
      <c r="P187" s="2" t="s">
        <v>78</v>
      </c>
      <c r="Q187" s="2" t="s">
        <v>446</v>
      </c>
      <c r="AI187" s="2" t="str">
        <f t="shared" si="1"/>
        <v/>
      </c>
      <c r="AJ187" s="2" t="s">
        <v>49</v>
      </c>
      <c r="AK187" s="2" t="s">
        <v>50</v>
      </c>
    </row>
    <row r="188" ht="15.75" customHeight="1">
      <c r="A188" s="2" t="s">
        <v>39</v>
      </c>
      <c r="B188" s="3" t="str">
        <f>HYPERLINK("https://www.senado.gob.ar/parlamentario/comisiones/verExp/1669.25/S/PR","1669")</f>
        <v>1669</v>
      </c>
      <c r="C188" s="3" t="str">
        <f>HYPERLINK("https://www.senado.gob.ar/parlamentario/comisiones/verExp/1669.25/S/PR","2025")</f>
        <v>2025</v>
      </c>
      <c r="D188" s="2" t="s">
        <v>145</v>
      </c>
      <c r="E188" s="2" t="s">
        <v>456</v>
      </c>
      <c r="F188" s="2" t="s">
        <v>457</v>
      </c>
      <c r="I188" s="2" t="s">
        <v>455</v>
      </c>
      <c r="K188" s="2" t="s">
        <v>44</v>
      </c>
      <c r="L188" s="2" t="s">
        <v>444</v>
      </c>
      <c r="N188" s="2" t="s">
        <v>409</v>
      </c>
      <c r="O188" s="2">
        <v>50.0</v>
      </c>
      <c r="P188" s="2" t="s">
        <v>47</v>
      </c>
      <c r="Q188" s="2" t="s">
        <v>446</v>
      </c>
      <c r="S188" s="2">
        <v>51.0</v>
      </c>
      <c r="T188" s="2" t="s">
        <v>62</v>
      </c>
      <c r="U188" s="2" t="s">
        <v>446</v>
      </c>
      <c r="AI188" s="2" t="str">
        <f t="shared" si="1"/>
        <v/>
      </c>
      <c r="AJ188" s="2" t="s">
        <v>49</v>
      </c>
      <c r="AK188" s="2" t="s">
        <v>50</v>
      </c>
    </row>
    <row r="189" ht="15.75" customHeight="1">
      <c r="A189" s="2" t="s">
        <v>39</v>
      </c>
      <c r="B189" s="3" t="str">
        <f>HYPERLINK("https://www.senado.gob.ar/parlamentario/comisiones/verExp/1668.25/S/PL","1668")</f>
        <v>1668</v>
      </c>
      <c r="C189" s="3" t="str">
        <f>HYPERLINK("https://www.senado.gob.ar/parlamentario/comisiones/verExp/1668.25/S/PL","2025")</f>
        <v>2025</v>
      </c>
      <c r="D189" s="2" t="s">
        <v>56</v>
      </c>
      <c r="E189" s="2" t="s">
        <v>458</v>
      </c>
      <c r="F189" s="2" t="s">
        <v>457</v>
      </c>
      <c r="I189" s="2" t="s">
        <v>455</v>
      </c>
      <c r="K189" s="2" t="s">
        <v>44</v>
      </c>
      <c r="L189" s="2" t="s">
        <v>444</v>
      </c>
      <c r="N189" s="2" t="s">
        <v>168</v>
      </c>
      <c r="O189" s="2">
        <v>55.0</v>
      </c>
      <c r="P189" s="2" t="s">
        <v>336</v>
      </c>
      <c r="Q189" s="2" t="s">
        <v>446</v>
      </c>
      <c r="AI189" s="2" t="str">
        <f t="shared" si="1"/>
        <v/>
      </c>
      <c r="AJ189" s="2" t="s">
        <v>49</v>
      </c>
      <c r="AK189" s="2" t="s">
        <v>50</v>
      </c>
    </row>
    <row r="190" ht="15.75" customHeight="1">
      <c r="A190" s="2" t="s">
        <v>39</v>
      </c>
      <c r="B190" s="3" t="str">
        <f>HYPERLINK("https://www.senado.gob.ar/parlamentario/comisiones/verExp/1667.25/S/PL","1667")</f>
        <v>1667</v>
      </c>
      <c r="C190" s="3" t="str">
        <f>HYPERLINK("https://www.senado.gob.ar/parlamentario/comisiones/verExp/1667.25/S/PL","2025")</f>
        <v>2025</v>
      </c>
      <c r="D190" s="2" t="s">
        <v>56</v>
      </c>
      <c r="E190" s="2" t="s">
        <v>459</v>
      </c>
      <c r="F190" s="2" t="s">
        <v>457</v>
      </c>
      <c r="I190" s="2" t="s">
        <v>455</v>
      </c>
      <c r="K190" s="2" t="s">
        <v>44</v>
      </c>
      <c r="L190" s="2" t="s">
        <v>444</v>
      </c>
      <c r="N190" s="2" t="s">
        <v>168</v>
      </c>
      <c r="O190" s="2">
        <v>55.0</v>
      </c>
      <c r="P190" s="2" t="s">
        <v>336</v>
      </c>
      <c r="Q190" s="2" t="s">
        <v>446</v>
      </c>
      <c r="AI190" s="2" t="str">
        <f t="shared" si="1"/>
        <v/>
      </c>
      <c r="AJ190" s="2" t="s">
        <v>49</v>
      </c>
      <c r="AK190" s="2" t="s">
        <v>50</v>
      </c>
    </row>
    <row r="191" ht="15.75" customHeight="1">
      <c r="A191" s="2" t="s">
        <v>39</v>
      </c>
      <c r="B191" s="3" t="str">
        <f>HYPERLINK("https://www.senado.gob.ar/parlamentario/comisiones/verExp/1662.25/S/PL","1662")</f>
        <v>1662</v>
      </c>
      <c r="C191" s="3" t="str">
        <f>HYPERLINK("https://www.senado.gob.ar/parlamentario/comisiones/verExp/1662.25/S/PL","2025")</f>
        <v>2025</v>
      </c>
      <c r="D191" s="2" t="s">
        <v>56</v>
      </c>
      <c r="E191" s="2" t="s">
        <v>460</v>
      </c>
      <c r="F191" s="2" t="s">
        <v>457</v>
      </c>
      <c r="I191" s="2" t="s">
        <v>461</v>
      </c>
      <c r="K191" s="2" t="s">
        <v>44</v>
      </c>
      <c r="L191" s="2" t="s">
        <v>444</v>
      </c>
      <c r="N191" s="2" t="s">
        <v>160</v>
      </c>
      <c r="O191" s="2">
        <v>75.0</v>
      </c>
      <c r="P191" s="2" t="s">
        <v>71</v>
      </c>
      <c r="Q191" s="2" t="s">
        <v>446</v>
      </c>
      <c r="AI191" s="2" t="str">
        <f t="shared" si="1"/>
        <v/>
      </c>
      <c r="AJ191" s="2" t="s">
        <v>49</v>
      </c>
      <c r="AK191" s="2" t="s">
        <v>50</v>
      </c>
    </row>
    <row r="192" ht="15.75" customHeight="1">
      <c r="A192" s="2" t="s">
        <v>39</v>
      </c>
      <c r="B192" s="3" t="str">
        <f>HYPERLINK("https://www.senado.gob.ar/parlamentario/comisiones/verExp/1661.25/S/PL","1661")</f>
        <v>1661</v>
      </c>
      <c r="C192" s="3" t="str">
        <f>HYPERLINK("https://www.senado.gob.ar/parlamentario/comisiones/verExp/1661.25/S/PL","2025")</f>
        <v>2025</v>
      </c>
      <c r="D192" s="2" t="s">
        <v>56</v>
      </c>
      <c r="E192" s="2" t="s">
        <v>462</v>
      </c>
      <c r="F192" s="2" t="s">
        <v>457</v>
      </c>
      <c r="I192" s="2" t="s">
        <v>461</v>
      </c>
      <c r="K192" s="2" t="s">
        <v>44</v>
      </c>
      <c r="L192" s="2" t="s">
        <v>444</v>
      </c>
      <c r="N192" s="2" t="s">
        <v>160</v>
      </c>
      <c r="O192" s="2">
        <v>75.0</v>
      </c>
      <c r="P192" s="2" t="s">
        <v>71</v>
      </c>
      <c r="Q192" s="2" t="s">
        <v>446</v>
      </c>
      <c r="S192" s="2">
        <v>54.0</v>
      </c>
      <c r="T192" s="2" t="s">
        <v>65</v>
      </c>
      <c r="U192" s="2" t="s">
        <v>446</v>
      </c>
      <c r="AI192" s="2" t="str">
        <f t="shared" si="1"/>
        <v/>
      </c>
      <c r="AJ192" s="2" t="s">
        <v>49</v>
      </c>
      <c r="AK192" s="2" t="s">
        <v>50</v>
      </c>
    </row>
    <row r="193" ht="15.75" customHeight="1">
      <c r="A193" s="2" t="s">
        <v>39</v>
      </c>
      <c r="B193" s="3" t="str">
        <f>HYPERLINK("https://www.senado.gob.ar/parlamentario/comisiones/verExp/1660.25/S/PL","1660")</f>
        <v>1660</v>
      </c>
      <c r="C193" s="3" t="str">
        <f>HYPERLINK("https://www.senado.gob.ar/parlamentario/comisiones/verExp/1660.25/S/PL","2025")</f>
        <v>2025</v>
      </c>
      <c r="D193" s="2" t="s">
        <v>56</v>
      </c>
      <c r="E193" s="2" t="s">
        <v>463</v>
      </c>
      <c r="F193" s="2" t="s">
        <v>457</v>
      </c>
      <c r="I193" s="2" t="s">
        <v>461</v>
      </c>
      <c r="K193" s="2" t="s">
        <v>44</v>
      </c>
      <c r="L193" s="2" t="s">
        <v>444</v>
      </c>
      <c r="N193" s="2" t="s">
        <v>160</v>
      </c>
      <c r="O193" s="2">
        <v>53.0</v>
      </c>
      <c r="P193" s="2" t="s">
        <v>76</v>
      </c>
      <c r="Q193" s="2" t="s">
        <v>446</v>
      </c>
      <c r="AI193" s="2" t="str">
        <f t="shared" si="1"/>
        <v/>
      </c>
      <c r="AJ193" s="2" t="s">
        <v>49</v>
      </c>
      <c r="AK193" s="2" t="s">
        <v>50</v>
      </c>
    </row>
    <row r="194" ht="15.75" customHeight="1">
      <c r="A194" s="2" t="s">
        <v>39</v>
      </c>
      <c r="B194" s="3" t="str">
        <f>HYPERLINK("https://www.senado.gob.ar/parlamentario/comisiones/verExp/1659.25/S/PL","1659")</f>
        <v>1659</v>
      </c>
      <c r="C194" s="3" t="str">
        <f>HYPERLINK("https://www.senado.gob.ar/parlamentario/comisiones/verExp/1659.25/S/PL","2025")</f>
        <v>2025</v>
      </c>
      <c r="D194" s="2" t="s">
        <v>56</v>
      </c>
      <c r="E194" s="2" t="s">
        <v>464</v>
      </c>
      <c r="F194" s="2" t="s">
        <v>457</v>
      </c>
      <c r="I194" s="2" t="s">
        <v>461</v>
      </c>
      <c r="K194" s="2" t="s">
        <v>44</v>
      </c>
      <c r="L194" s="2" t="s">
        <v>444</v>
      </c>
      <c r="N194" s="2" t="s">
        <v>465</v>
      </c>
      <c r="O194" s="2">
        <v>69.0</v>
      </c>
      <c r="P194" s="2" t="s">
        <v>135</v>
      </c>
      <c r="Q194" s="2" t="s">
        <v>446</v>
      </c>
      <c r="AI194" s="2" t="str">
        <f t="shared" si="1"/>
        <v/>
      </c>
      <c r="AJ194" s="2" t="s">
        <v>49</v>
      </c>
      <c r="AK194" s="2" t="s">
        <v>50</v>
      </c>
    </row>
    <row r="195" ht="15.75" customHeight="1">
      <c r="A195" s="2" t="s">
        <v>39</v>
      </c>
      <c r="B195" s="3" t="str">
        <f>HYPERLINK("https://www.senado.gob.ar/parlamentario/comisiones/verExp/1658.25/S/PR","1658")</f>
        <v>1658</v>
      </c>
      <c r="C195" s="3" t="str">
        <f>HYPERLINK("https://www.senado.gob.ar/parlamentario/comisiones/verExp/1658.25/S/PR","2025")</f>
        <v>2025</v>
      </c>
      <c r="D195" s="2" t="s">
        <v>145</v>
      </c>
      <c r="E195" s="2" t="s">
        <v>466</v>
      </c>
      <c r="F195" s="2" t="s">
        <v>457</v>
      </c>
      <c r="I195" s="2" t="s">
        <v>461</v>
      </c>
      <c r="K195" s="2" t="s">
        <v>44</v>
      </c>
      <c r="L195" s="2" t="s">
        <v>444</v>
      </c>
      <c r="N195" s="2" t="s">
        <v>409</v>
      </c>
      <c r="O195" s="2">
        <v>50.0</v>
      </c>
      <c r="P195" s="2" t="s">
        <v>47</v>
      </c>
      <c r="Q195" s="2" t="s">
        <v>446</v>
      </c>
      <c r="S195" s="2">
        <v>70.0</v>
      </c>
      <c r="T195" s="2" t="s">
        <v>166</v>
      </c>
      <c r="U195" s="2" t="s">
        <v>446</v>
      </c>
      <c r="AI195" s="2" t="str">
        <f t="shared" si="1"/>
        <v/>
      </c>
      <c r="AJ195" s="2" t="s">
        <v>49</v>
      </c>
      <c r="AK195" s="2" t="s">
        <v>50</v>
      </c>
    </row>
    <row r="196" ht="15.75" customHeight="1">
      <c r="A196" s="2" t="s">
        <v>39</v>
      </c>
      <c r="B196" s="3" t="str">
        <f>HYPERLINK("https://www.senado.gob.ar/parlamentario/comisiones/verExp/1656.25/S/PR","1656")</f>
        <v>1656</v>
      </c>
      <c r="C196" s="3" t="str">
        <f>HYPERLINK("https://www.senado.gob.ar/parlamentario/comisiones/verExp/1656.25/S/PR","2025")</f>
        <v>2025</v>
      </c>
      <c r="D196" s="2" t="s">
        <v>145</v>
      </c>
      <c r="E196" s="2" t="s">
        <v>467</v>
      </c>
      <c r="F196" s="2" t="s">
        <v>457</v>
      </c>
      <c r="I196" s="2" t="s">
        <v>461</v>
      </c>
      <c r="K196" s="2" t="s">
        <v>44</v>
      </c>
      <c r="L196" s="2" t="s">
        <v>444</v>
      </c>
      <c r="N196" s="2" t="s">
        <v>468</v>
      </c>
      <c r="O196" s="2">
        <v>61.0</v>
      </c>
      <c r="P196" s="2" t="s">
        <v>104</v>
      </c>
      <c r="Q196" s="2" t="s">
        <v>446</v>
      </c>
      <c r="S196" s="2">
        <v>54.0</v>
      </c>
      <c r="T196" s="2" t="s">
        <v>65</v>
      </c>
      <c r="U196" s="2" t="s">
        <v>446</v>
      </c>
      <c r="AI196" s="2" t="str">
        <f t="shared" si="1"/>
        <v/>
      </c>
      <c r="AJ196" s="2" t="s">
        <v>49</v>
      </c>
      <c r="AK196" s="2" t="s">
        <v>50</v>
      </c>
    </row>
    <row r="197" ht="15.75" customHeight="1">
      <c r="A197" s="2" t="s">
        <v>39</v>
      </c>
      <c r="B197" s="3" t="str">
        <f>HYPERLINK("https://www.senado.gob.ar/parlamentario/comisiones/verExp/1655.25/S/PR","1655")</f>
        <v>1655</v>
      </c>
      <c r="C197" s="3" t="str">
        <f>HYPERLINK("https://www.senado.gob.ar/parlamentario/comisiones/verExp/1655.25/S/PR","2025")</f>
        <v>2025</v>
      </c>
      <c r="D197" s="2" t="s">
        <v>145</v>
      </c>
      <c r="E197" s="2" t="s">
        <v>469</v>
      </c>
      <c r="F197" s="2" t="s">
        <v>470</v>
      </c>
      <c r="I197" s="2" t="s">
        <v>471</v>
      </c>
      <c r="K197" s="2" t="s">
        <v>44</v>
      </c>
      <c r="L197" s="2" t="s">
        <v>444</v>
      </c>
      <c r="N197" s="2" t="s">
        <v>472</v>
      </c>
      <c r="O197" s="2">
        <v>50.0</v>
      </c>
      <c r="P197" s="2" t="s">
        <v>47</v>
      </c>
      <c r="Q197" s="2" t="s">
        <v>446</v>
      </c>
      <c r="S197" s="2">
        <v>56.0</v>
      </c>
      <c r="T197" s="2" t="s">
        <v>262</v>
      </c>
      <c r="U197" s="2" t="s">
        <v>446</v>
      </c>
      <c r="W197" s="2">
        <v>51.0</v>
      </c>
      <c r="X197" s="2" t="s">
        <v>62</v>
      </c>
      <c r="Y197" s="2" t="s">
        <v>446</v>
      </c>
      <c r="AI197" s="2" t="str">
        <f t="shared" si="1"/>
        <v/>
      </c>
      <c r="AJ197" s="2" t="s">
        <v>49</v>
      </c>
      <c r="AK197" s="2" t="s">
        <v>50</v>
      </c>
    </row>
    <row r="198" ht="15.75" customHeight="1">
      <c r="A198" s="2" t="s">
        <v>39</v>
      </c>
      <c r="B198" s="3" t="str">
        <f>HYPERLINK("https://www.senado.gob.ar/parlamentario/comisiones/verExp/1653.25/S/PL","1653")</f>
        <v>1653</v>
      </c>
      <c r="C198" s="3" t="str">
        <f>HYPERLINK("https://www.senado.gob.ar/parlamentario/comisiones/verExp/1653.25/S/PL","2025")</f>
        <v>2025</v>
      </c>
      <c r="D198" s="2" t="s">
        <v>56</v>
      </c>
      <c r="E198" s="2" t="s">
        <v>473</v>
      </c>
      <c r="F198" s="2" t="s">
        <v>470</v>
      </c>
      <c r="I198" s="2" t="s">
        <v>471</v>
      </c>
      <c r="K198" s="2" t="s">
        <v>44</v>
      </c>
      <c r="L198" s="2" t="s">
        <v>444</v>
      </c>
      <c r="N198" s="2" t="s">
        <v>474</v>
      </c>
      <c r="O198" s="2">
        <v>50.0</v>
      </c>
      <c r="P198" s="2" t="s">
        <v>47</v>
      </c>
      <c r="Q198" s="2" t="s">
        <v>446</v>
      </c>
      <c r="S198" s="2">
        <v>67.0</v>
      </c>
      <c r="T198" s="2" t="s">
        <v>84</v>
      </c>
      <c r="U198" s="2" t="s">
        <v>446</v>
      </c>
      <c r="W198" s="2">
        <v>54.0</v>
      </c>
      <c r="X198" s="2" t="s">
        <v>65</v>
      </c>
      <c r="Y198" s="2" t="s">
        <v>446</v>
      </c>
      <c r="AI198" s="2" t="str">
        <f t="shared" si="1"/>
        <v/>
      </c>
      <c r="AJ198" s="2" t="s">
        <v>49</v>
      </c>
      <c r="AK198" s="2" t="s">
        <v>50</v>
      </c>
    </row>
    <row r="199" ht="15.75" customHeight="1">
      <c r="A199" s="2" t="s">
        <v>39</v>
      </c>
      <c r="B199" s="3" t="str">
        <f>HYPERLINK("https://www.senado.gob.ar/parlamentario/comisiones/verExp/1651.25/S/PL","1651")</f>
        <v>1651</v>
      </c>
      <c r="C199" s="3" t="str">
        <f>HYPERLINK("https://www.senado.gob.ar/parlamentario/comisiones/verExp/1651.25/S/PL","2025")</f>
        <v>2025</v>
      </c>
      <c r="D199" s="2" t="s">
        <v>56</v>
      </c>
      <c r="E199" s="2" t="s">
        <v>475</v>
      </c>
      <c r="F199" s="2" t="s">
        <v>470</v>
      </c>
      <c r="I199" s="2" t="s">
        <v>471</v>
      </c>
      <c r="K199" s="2" t="s">
        <v>44</v>
      </c>
      <c r="L199" s="2" t="s">
        <v>444</v>
      </c>
      <c r="N199" s="2" t="s">
        <v>261</v>
      </c>
      <c r="O199" s="2">
        <v>53.0</v>
      </c>
      <c r="P199" s="2" t="s">
        <v>76</v>
      </c>
      <c r="Q199" s="2" t="s">
        <v>446</v>
      </c>
      <c r="AI199" s="2" t="str">
        <f t="shared" si="1"/>
        <v/>
      </c>
      <c r="AJ199" s="2" t="s">
        <v>49</v>
      </c>
      <c r="AK199" s="2" t="s">
        <v>50</v>
      </c>
    </row>
    <row r="200" ht="15.75" customHeight="1">
      <c r="A200" s="2" t="s">
        <v>39</v>
      </c>
      <c r="B200" s="3" t="str">
        <f>HYPERLINK("https://www.senado.gob.ar/parlamentario/comisiones/verExp/1646.25/S/PR","1646")</f>
        <v>1646</v>
      </c>
      <c r="C200" s="3" t="str">
        <f>HYPERLINK("https://www.senado.gob.ar/parlamentario/comisiones/verExp/1646.25/S/PR","2025")</f>
        <v>2025</v>
      </c>
      <c r="D200" s="2" t="s">
        <v>145</v>
      </c>
      <c r="E200" s="2" t="s">
        <v>476</v>
      </c>
      <c r="F200" s="2" t="s">
        <v>470</v>
      </c>
      <c r="I200" s="2" t="s">
        <v>471</v>
      </c>
      <c r="K200" s="2" t="s">
        <v>44</v>
      </c>
      <c r="L200" s="2" t="s">
        <v>444</v>
      </c>
      <c r="N200" s="2" t="s">
        <v>477</v>
      </c>
      <c r="O200" s="2">
        <v>50.0</v>
      </c>
      <c r="P200" s="2" t="s">
        <v>47</v>
      </c>
      <c r="Q200" s="2" t="s">
        <v>446</v>
      </c>
      <c r="S200" s="2">
        <v>70.0</v>
      </c>
      <c r="T200" s="2" t="s">
        <v>166</v>
      </c>
      <c r="U200" s="2" t="s">
        <v>446</v>
      </c>
      <c r="AI200" s="2" t="str">
        <f t="shared" si="1"/>
        <v/>
      </c>
      <c r="AJ200" s="2" t="s">
        <v>49</v>
      </c>
      <c r="AK200" s="2" t="s">
        <v>50</v>
      </c>
    </row>
    <row r="201" ht="15.75" customHeight="1">
      <c r="A201" s="2" t="s">
        <v>39</v>
      </c>
      <c r="B201" s="3" t="str">
        <f>HYPERLINK("https://www.senado.gob.ar/parlamentario/comisiones/verExp/1644.25/S/PL","1644")</f>
        <v>1644</v>
      </c>
      <c r="C201" s="3" t="str">
        <f>HYPERLINK("https://www.senado.gob.ar/parlamentario/comisiones/verExp/1644.25/S/PL","2025")</f>
        <v>2025</v>
      </c>
      <c r="D201" s="2" t="s">
        <v>56</v>
      </c>
      <c r="E201" s="2" t="s">
        <v>478</v>
      </c>
      <c r="F201" s="2" t="s">
        <v>470</v>
      </c>
      <c r="I201" s="2" t="s">
        <v>479</v>
      </c>
      <c r="K201" s="2" t="s">
        <v>44</v>
      </c>
      <c r="L201" s="2" t="s">
        <v>444</v>
      </c>
      <c r="N201" s="2" t="s">
        <v>474</v>
      </c>
      <c r="O201" s="2">
        <v>78.0</v>
      </c>
      <c r="P201" s="2" t="s">
        <v>73</v>
      </c>
      <c r="Q201" s="2" t="s">
        <v>446</v>
      </c>
      <c r="AI201" s="2" t="str">
        <f t="shared" si="1"/>
        <v/>
      </c>
      <c r="AJ201" s="2" t="s">
        <v>49</v>
      </c>
      <c r="AK201" s="2" t="s">
        <v>50</v>
      </c>
    </row>
    <row r="202" ht="15.75" customHeight="1">
      <c r="A202" s="2" t="s">
        <v>39</v>
      </c>
      <c r="B202" s="3" t="str">
        <f>HYPERLINK("https://www.senado.gob.ar/parlamentario/comisiones/verExp/1643.25/S/PL","1643")</f>
        <v>1643</v>
      </c>
      <c r="C202" s="3" t="str">
        <f>HYPERLINK("https://www.senado.gob.ar/parlamentario/comisiones/verExp/1643.25/S/PL","2025")</f>
        <v>2025</v>
      </c>
      <c r="D202" s="2" t="s">
        <v>56</v>
      </c>
      <c r="E202" s="2" t="s">
        <v>480</v>
      </c>
      <c r="F202" s="2" t="s">
        <v>470</v>
      </c>
      <c r="I202" s="2" t="s">
        <v>479</v>
      </c>
      <c r="K202" s="2" t="s">
        <v>44</v>
      </c>
      <c r="L202" s="2" t="s">
        <v>444</v>
      </c>
      <c r="N202" s="2" t="s">
        <v>474</v>
      </c>
      <c r="O202" s="2">
        <v>75.0</v>
      </c>
      <c r="P202" s="2" t="s">
        <v>71</v>
      </c>
      <c r="Q202" s="2" t="s">
        <v>446</v>
      </c>
      <c r="AI202" s="2" t="str">
        <f t="shared" si="1"/>
        <v/>
      </c>
      <c r="AJ202" s="2" t="s">
        <v>49</v>
      </c>
      <c r="AK202" s="2" t="s">
        <v>50</v>
      </c>
    </row>
    <row r="203" ht="15.75" customHeight="1">
      <c r="A203" s="2" t="s">
        <v>39</v>
      </c>
      <c r="B203" s="3" t="str">
        <f>HYPERLINK("https://www.senado.gob.ar/parlamentario/comisiones/verExp/1636.25/S/PR","1636")</f>
        <v>1636</v>
      </c>
      <c r="C203" s="3" t="str">
        <f>HYPERLINK("https://www.senado.gob.ar/parlamentario/comisiones/verExp/1636.25/S/PR","2025")</f>
        <v>2025</v>
      </c>
      <c r="D203" s="2" t="s">
        <v>145</v>
      </c>
      <c r="E203" s="2" t="s">
        <v>481</v>
      </c>
      <c r="F203" s="2" t="s">
        <v>470</v>
      </c>
      <c r="I203" s="2" t="s">
        <v>479</v>
      </c>
      <c r="K203" s="2" t="s">
        <v>44</v>
      </c>
      <c r="L203" s="2" t="s">
        <v>444</v>
      </c>
      <c r="N203" s="2" t="s">
        <v>453</v>
      </c>
      <c r="O203" s="2">
        <v>50.0</v>
      </c>
      <c r="P203" s="2" t="s">
        <v>47</v>
      </c>
      <c r="Q203" s="2" t="s">
        <v>446</v>
      </c>
      <c r="S203" s="2">
        <v>70.0</v>
      </c>
      <c r="T203" s="2" t="s">
        <v>166</v>
      </c>
      <c r="U203" s="2" t="s">
        <v>446</v>
      </c>
      <c r="AI203" s="2" t="str">
        <f t="shared" si="1"/>
        <v/>
      </c>
      <c r="AJ203" s="2" t="s">
        <v>49</v>
      </c>
      <c r="AK203" s="2" t="s">
        <v>50</v>
      </c>
    </row>
    <row r="204" ht="15.75" customHeight="1">
      <c r="A204" s="2" t="s">
        <v>39</v>
      </c>
      <c r="B204" s="3" t="str">
        <f>HYPERLINK("https://www.senado.gob.ar/parlamentario/comisiones/verExp/1624.25/S/PL","1624")</f>
        <v>1624</v>
      </c>
      <c r="C204" s="3" t="str">
        <f>HYPERLINK("https://www.senado.gob.ar/parlamentario/comisiones/verExp/1624.25/S/PL","2025")</f>
        <v>2025</v>
      </c>
      <c r="D204" s="2" t="s">
        <v>56</v>
      </c>
      <c r="E204" s="2" t="s">
        <v>482</v>
      </c>
      <c r="F204" s="2" t="s">
        <v>483</v>
      </c>
      <c r="I204" s="2" t="s">
        <v>484</v>
      </c>
      <c r="K204" s="2" t="s">
        <v>44</v>
      </c>
      <c r="L204" s="2" t="s">
        <v>374</v>
      </c>
      <c r="M204" s="2" t="s">
        <v>485</v>
      </c>
      <c r="N204" s="2" t="s">
        <v>486</v>
      </c>
      <c r="O204" s="2">
        <v>65.0</v>
      </c>
      <c r="P204" s="2" t="s">
        <v>153</v>
      </c>
      <c r="Q204" s="2" t="s">
        <v>487</v>
      </c>
      <c r="S204" s="2">
        <v>74.0</v>
      </c>
      <c r="T204" s="2" t="s">
        <v>256</v>
      </c>
      <c r="U204" s="2" t="s">
        <v>487</v>
      </c>
      <c r="AI204" s="2" t="str">
        <f t="shared" si="1"/>
        <v/>
      </c>
      <c r="AJ204" s="2" t="s">
        <v>49</v>
      </c>
      <c r="AK204" s="2" t="s">
        <v>50</v>
      </c>
    </row>
    <row r="205" ht="15.75" customHeight="1">
      <c r="A205" s="2" t="s">
        <v>39</v>
      </c>
      <c r="B205" s="3" t="str">
        <f>HYPERLINK("https://www.senado.gob.ar/parlamentario/comisiones/verExp/1619.25/S/PL","1619")</f>
        <v>1619</v>
      </c>
      <c r="C205" s="3" t="str">
        <f>HYPERLINK("https://www.senado.gob.ar/parlamentario/comisiones/verExp/1619.25/S/PL","2025")</f>
        <v>2025</v>
      </c>
      <c r="D205" s="2" t="s">
        <v>56</v>
      </c>
      <c r="E205" s="2" t="s">
        <v>488</v>
      </c>
      <c r="F205" s="2" t="s">
        <v>483</v>
      </c>
      <c r="I205" s="2" t="s">
        <v>484</v>
      </c>
      <c r="K205" s="2" t="s">
        <v>44</v>
      </c>
      <c r="L205" s="2" t="s">
        <v>444</v>
      </c>
      <c r="N205" s="2" t="s">
        <v>160</v>
      </c>
      <c r="O205" s="2">
        <v>78.0</v>
      </c>
      <c r="P205" s="2" t="s">
        <v>73</v>
      </c>
      <c r="Q205" s="2" t="s">
        <v>446</v>
      </c>
      <c r="S205" s="2">
        <v>53.0</v>
      </c>
      <c r="T205" s="2" t="s">
        <v>76</v>
      </c>
      <c r="U205" s="2" t="s">
        <v>446</v>
      </c>
      <c r="W205" s="2">
        <v>54.0</v>
      </c>
      <c r="X205" s="2" t="s">
        <v>65</v>
      </c>
      <c r="Y205" s="2" t="s">
        <v>446</v>
      </c>
      <c r="AI205" s="2" t="str">
        <f t="shared" si="1"/>
        <v/>
      </c>
      <c r="AJ205" s="2" t="s">
        <v>49</v>
      </c>
      <c r="AK205" s="2" t="s">
        <v>50</v>
      </c>
    </row>
    <row r="206" ht="15.75" customHeight="1">
      <c r="A206" s="2" t="s">
        <v>39</v>
      </c>
      <c r="B206" s="3" t="str">
        <f>HYPERLINK("https://www.senado.gob.ar/parlamentario/comisiones/verExp/1618.25/S/PL","1618")</f>
        <v>1618</v>
      </c>
      <c r="C206" s="3" t="str">
        <f>HYPERLINK("https://www.senado.gob.ar/parlamentario/comisiones/verExp/1618.25/S/PL","2025")</f>
        <v>2025</v>
      </c>
      <c r="D206" s="2" t="s">
        <v>56</v>
      </c>
      <c r="E206" s="2" t="s">
        <v>489</v>
      </c>
      <c r="F206" s="2" t="s">
        <v>483</v>
      </c>
      <c r="I206" s="2" t="s">
        <v>484</v>
      </c>
      <c r="K206" s="2" t="s">
        <v>44</v>
      </c>
      <c r="L206" s="2" t="s">
        <v>444</v>
      </c>
      <c r="N206" s="2" t="s">
        <v>160</v>
      </c>
      <c r="O206" s="2">
        <v>78.0</v>
      </c>
      <c r="P206" s="2" t="s">
        <v>73</v>
      </c>
      <c r="Q206" s="2" t="s">
        <v>446</v>
      </c>
      <c r="S206" s="2">
        <v>54.0</v>
      </c>
      <c r="T206" s="2" t="s">
        <v>65</v>
      </c>
      <c r="U206" s="2" t="s">
        <v>446</v>
      </c>
      <c r="AI206" s="2" t="str">
        <f t="shared" si="1"/>
        <v/>
      </c>
      <c r="AJ206" s="2" t="s">
        <v>49</v>
      </c>
      <c r="AK206" s="2" t="s">
        <v>50</v>
      </c>
    </row>
    <row r="207" ht="15.75" customHeight="1">
      <c r="A207" s="2" t="s">
        <v>39</v>
      </c>
      <c r="B207" s="3" t="str">
        <f>HYPERLINK("https://www.senado.gob.ar/parlamentario/comisiones/verExp/1617.25/S/PL","1617")</f>
        <v>1617</v>
      </c>
      <c r="C207" s="3" t="str">
        <f>HYPERLINK("https://www.senado.gob.ar/parlamentario/comisiones/verExp/1617.25/S/PL","2025")</f>
        <v>2025</v>
      </c>
      <c r="D207" s="2" t="s">
        <v>56</v>
      </c>
      <c r="E207" s="2" t="s">
        <v>490</v>
      </c>
      <c r="F207" s="2" t="s">
        <v>483</v>
      </c>
      <c r="I207" s="2" t="s">
        <v>484</v>
      </c>
      <c r="K207" s="2" t="s">
        <v>44</v>
      </c>
      <c r="L207" s="2" t="s">
        <v>444</v>
      </c>
      <c r="N207" s="2" t="s">
        <v>160</v>
      </c>
      <c r="O207" s="2">
        <v>52.0</v>
      </c>
      <c r="P207" s="2" t="s">
        <v>78</v>
      </c>
      <c r="Q207" s="2" t="s">
        <v>446</v>
      </c>
      <c r="AI207" s="2" t="str">
        <f t="shared" si="1"/>
        <v/>
      </c>
      <c r="AJ207" s="2" t="s">
        <v>49</v>
      </c>
      <c r="AK207" s="2" t="s">
        <v>50</v>
      </c>
    </row>
    <row r="208" ht="15.75" customHeight="1">
      <c r="A208" s="2" t="s">
        <v>39</v>
      </c>
      <c r="B208" s="3" t="str">
        <f>HYPERLINK("https://www.senado.gob.ar/parlamentario/comisiones/verExp/1616.25/S/PL","1616")</f>
        <v>1616</v>
      </c>
      <c r="C208" s="3" t="str">
        <f>HYPERLINK("https://www.senado.gob.ar/parlamentario/comisiones/verExp/1616.25/S/PL","2025")</f>
        <v>2025</v>
      </c>
      <c r="D208" s="2" t="s">
        <v>56</v>
      </c>
      <c r="E208" s="2" t="s">
        <v>491</v>
      </c>
      <c r="F208" s="2" t="s">
        <v>483</v>
      </c>
      <c r="I208" s="2" t="s">
        <v>484</v>
      </c>
      <c r="K208" s="2" t="s">
        <v>44</v>
      </c>
      <c r="L208" s="2" t="s">
        <v>444</v>
      </c>
      <c r="N208" s="2" t="s">
        <v>75</v>
      </c>
      <c r="O208" s="2">
        <v>78.0</v>
      </c>
      <c r="P208" s="2" t="s">
        <v>73</v>
      </c>
      <c r="Q208" s="2" t="s">
        <v>446</v>
      </c>
      <c r="S208" s="2">
        <v>59.0</v>
      </c>
      <c r="T208" s="2" t="s">
        <v>220</v>
      </c>
      <c r="U208" s="2" t="s">
        <v>446</v>
      </c>
      <c r="AI208" s="2" t="str">
        <f t="shared" si="1"/>
        <v/>
      </c>
      <c r="AJ208" s="2" t="s">
        <v>49</v>
      </c>
      <c r="AK208" s="2" t="s">
        <v>50</v>
      </c>
    </row>
    <row r="209" ht="15.75" customHeight="1">
      <c r="A209" s="2" t="s">
        <v>39</v>
      </c>
      <c r="B209" s="3" t="str">
        <f>HYPERLINK("https://www.senado.gob.ar/parlamentario/comisiones/verExp/1615.25/S/PL","1615")</f>
        <v>1615</v>
      </c>
      <c r="C209" s="3" t="str">
        <f>HYPERLINK("https://www.senado.gob.ar/parlamentario/comisiones/verExp/1615.25/S/PL","2025")</f>
        <v>2025</v>
      </c>
      <c r="D209" s="2" t="s">
        <v>56</v>
      </c>
      <c r="E209" s="2" t="s">
        <v>492</v>
      </c>
      <c r="F209" s="2" t="s">
        <v>483</v>
      </c>
      <c r="I209" s="2" t="s">
        <v>484</v>
      </c>
      <c r="K209" s="2" t="s">
        <v>44</v>
      </c>
      <c r="L209" s="2" t="s">
        <v>444</v>
      </c>
      <c r="N209" s="2" t="s">
        <v>75</v>
      </c>
      <c r="O209" s="2">
        <v>52.0</v>
      </c>
      <c r="P209" s="2" t="s">
        <v>78</v>
      </c>
      <c r="Q209" s="2" t="s">
        <v>446</v>
      </c>
      <c r="AI209" s="2" t="str">
        <f t="shared" si="1"/>
        <v/>
      </c>
      <c r="AJ209" s="2" t="s">
        <v>49</v>
      </c>
      <c r="AK209" s="2" t="s">
        <v>50</v>
      </c>
    </row>
    <row r="210" ht="15.75" customHeight="1">
      <c r="A210" s="2" t="s">
        <v>39</v>
      </c>
      <c r="B210" s="3" t="str">
        <f>HYPERLINK("https://www.senado.gob.ar/parlamentario/comisiones/verExp/1609.25/S/CO","1609")</f>
        <v>1609</v>
      </c>
      <c r="C210" s="3" t="str">
        <f>HYPERLINK("https://www.senado.gob.ar/parlamentario/comisiones/verExp/1609.25/S/CO","2025")</f>
        <v>2025</v>
      </c>
      <c r="D210" s="2" t="s">
        <v>40</v>
      </c>
      <c r="E210" s="2" t="s">
        <v>493</v>
      </c>
      <c r="F210" s="2" t="s">
        <v>494</v>
      </c>
      <c r="I210" s="2" t="s">
        <v>484</v>
      </c>
      <c r="K210" s="2" t="s">
        <v>44</v>
      </c>
      <c r="L210" s="2" t="s">
        <v>495</v>
      </c>
      <c r="N210" s="2" t="s">
        <v>496</v>
      </c>
      <c r="O210" s="2">
        <v>50.0</v>
      </c>
      <c r="P210" s="2" t="s">
        <v>47</v>
      </c>
      <c r="Q210" s="2" t="s">
        <v>497</v>
      </c>
      <c r="AI210" s="2" t="str">
        <f t="shared" si="1"/>
        <v/>
      </c>
      <c r="AJ210" s="2" t="s">
        <v>49</v>
      </c>
      <c r="AK210" s="2" t="s">
        <v>50</v>
      </c>
    </row>
    <row r="211" ht="15.75" customHeight="1">
      <c r="A211" s="2" t="s">
        <v>39</v>
      </c>
      <c r="B211" s="3" t="str">
        <f>HYPERLINK("https://www.senado.gob.ar/parlamentario/comisiones/verExp/1608.25/S/CO","1608")</f>
        <v>1608</v>
      </c>
      <c r="C211" s="3" t="str">
        <f>HYPERLINK("https://www.senado.gob.ar/parlamentario/comisiones/verExp/1608.25/S/CO","2025")</f>
        <v>2025</v>
      </c>
      <c r="D211" s="2" t="s">
        <v>40</v>
      </c>
      <c r="E211" s="2" t="s">
        <v>498</v>
      </c>
      <c r="F211" s="2" t="s">
        <v>494</v>
      </c>
      <c r="I211" s="2" t="s">
        <v>484</v>
      </c>
      <c r="K211" s="2" t="s">
        <v>44</v>
      </c>
      <c r="L211" s="2" t="s">
        <v>495</v>
      </c>
      <c r="N211" s="2" t="s">
        <v>261</v>
      </c>
      <c r="O211" s="2">
        <v>50.0</v>
      </c>
      <c r="P211" s="2" t="s">
        <v>47</v>
      </c>
      <c r="Q211" s="2" t="s">
        <v>497</v>
      </c>
      <c r="AI211" s="2" t="str">
        <f t="shared" si="1"/>
        <v/>
      </c>
      <c r="AJ211" s="2" t="s">
        <v>49</v>
      </c>
      <c r="AK211" s="2" t="s">
        <v>50</v>
      </c>
    </row>
    <row r="212" ht="15.75" customHeight="1">
      <c r="A212" s="2" t="s">
        <v>39</v>
      </c>
      <c r="B212" s="3" t="str">
        <f>HYPERLINK("https://www.senado.gob.ar/parlamentario/comisiones/verExp/1607.25/S/CO","1607")</f>
        <v>1607</v>
      </c>
      <c r="C212" s="3" t="str">
        <f>HYPERLINK("https://www.senado.gob.ar/parlamentario/comisiones/verExp/1607.25/S/CO","2025")</f>
        <v>2025</v>
      </c>
      <c r="D212" s="2" t="s">
        <v>40</v>
      </c>
      <c r="E212" s="2" t="s">
        <v>499</v>
      </c>
      <c r="F212" s="2" t="s">
        <v>494</v>
      </c>
      <c r="I212" s="2" t="s">
        <v>484</v>
      </c>
      <c r="K212" s="2" t="s">
        <v>44</v>
      </c>
      <c r="L212" s="2" t="s">
        <v>495</v>
      </c>
      <c r="N212" s="2" t="s">
        <v>140</v>
      </c>
      <c r="O212" s="2">
        <v>50.0</v>
      </c>
      <c r="P212" s="2" t="s">
        <v>47</v>
      </c>
      <c r="Q212" s="2" t="s">
        <v>497</v>
      </c>
      <c r="AI212" s="2" t="str">
        <f t="shared" si="1"/>
        <v/>
      </c>
      <c r="AJ212" s="2" t="s">
        <v>49</v>
      </c>
      <c r="AK212" s="2" t="s">
        <v>50</v>
      </c>
    </row>
    <row r="213" ht="15.75" customHeight="1">
      <c r="A213" s="2" t="s">
        <v>39</v>
      </c>
      <c r="B213" s="3" t="str">
        <f>HYPERLINK("https://www.senado.gob.ar/parlamentario/comisiones/verExp/1600.25/S/PL","1600")</f>
        <v>1600</v>
      </c>
      <c r="C213" s="3" t="str">
        <f>HYPERLINK("https://www.senado.gob.ar/parlamentario/comisiones/verExp/1600.25/S/PL","2025")</f>
        <v>2025</v>
      </c>
      <c r="D213" s="2" t="s">
        <v>56</v>
      </c>
      <c r="E213" s="2" t="s">
        <v>500</v>
      </c>
      <c r="F213" s="2" t="s">
        <v>501</v>
      </c>
      <c r="I213" s="2" t="s">
        <v>502</v>
      </c>
      <c r="K213" s="2" t="s">
        <v>44</v>
      </c>
      <c r="L213" s="2" t="s">
        <v>444</v>
      </c>
      <c r="N213" s="2" t="s">
        <v>503</v>
      </c>
      <c r="O213" s="2">
        <v>75.0</v>
      </c>
      <c r="P213" s="2" t="s">
        <v>71</v>
      </c>
      <c r="Q213" s="2" t="s">
        <v>446</v>
      </c>
      <c r="S213" s="2">
        <v>54.0</v>
      </c>
      <c r="T213" s="2" t="s">
        <v>65</v>
      </c>
      <c r="U213" s="2" t="s">
        <v>446</v>
      </c>
      <c r="AI213" s="2" t="str">
        <f t="shared" si="1"/>
        <v/>
      </c>
      <c r="AJ213" s="2" t="s">
        <v>49</v>
      </c>
      <c r="AK213" s="2" t="s">
        <v>50</v>
      </c>
    </row>
    <row r="214" ht="15.75" customHeight="1">
      <c r="A214" s="2" t="s">
        <v>39</v>
      </c>
      <c r="B214" s="3" t="str">
        <f>HYPERLINK("https://www.senado.gob.ar/parlamentario/comisiones/verExp/1598.25/S/PL","1598")</f>
        <v>1598</v>
      </c>
      <c r="C214" s="3" t="str">
        <f>HYPERLINK("https://www.senado.gob.ar/parlamentario/comisiones/verExp/1598.25/S/PL","2025")</f>
        <v>2025</v>
      </c>
      <c r="D214" s="2" t="s">
        <v>56</v>
      </c>
      <c r="E214" s="2" t="s">
        <v>504</v>
      </c>
      <c r="F214" s="2" t="s">
        <v>501</v>
      </c>
      <c r="I214" s="2" t="s">
        <v>505</v>
      </c>
      <c r="K214" s="2" t="s">
        <v>44</v>
      </c>
      <c r="L214" s="2" t="s">
        <v>444</v>
      </c>
      <c r="N214" s="2" t="s">
        <v>217</v>
      </c>
      <c r="O214" s="2">
        <v>75.0</v>
      </c>
      <c r="P214" s="2" t="s">
        <v>71</v>
      </c>
      <c r="Q214" s="2" t="s">
        <v>446</v>
      </c>
      <c r="S214" s="2">
        <v>54.0</v>
      </c>
      <c r="T214" s="2" t="s">
        <v>65</v>
      </c>
      <c r="U214" s="2" t="s">
        <v>446</v>
      </c>
      <c r="AI214" s="2" t="str">
        <f t="shared" si="1"/>
        <v/>
      </c>
      <c r="AJ214" s="2" t="s">
        <v>49</v>
      </c>
      <c r="AK214" s="2" t="s">
        <v>50</v>
      </c>
    </row>
    <row r="215" ht="15.75" customHeight="1">
      <c r="A215" s="2" t="s">
        <v>39</v>
      </c>
      <c r="B215" s="3" t="str">
        <f>HYPERLINK("https://www.senado.gob.ar/parlamentario/comisiones/verExp/1592.25/S/PL","1592")</f>
        <v>1592</v>
      </c>
      <c r="C215" s="3" t="str">
        <f>HYPERLINK("https://www.senado.gob.ar/parlamentario/comisiones/verExp/1592.25/S/PL","2025")</f>
        <v>2025</v>
      </c>
      <c r="D215" s="2" t="s">
        <v>56</v>
      </c>
      <c r="E215" s="2" t="s">
        <v>506</v>
      </c>
      <c r="F215" s="2" t="s">
        <v>501</v>
      </c>
      <c r="I215" s="2" t="s">
        <v>505</v>
      </c>
      <c r="K215" s="2" t="s">
        <v>44</v>
      </c>
      <c r="L215" s="2" t="s">
        <v>444</v>
      </c>
      <c r="N215" s="2" t="s">
        <v>140</v>
      </c>
      <c r="O215" s="2">
        <v>75.0</v>
      </c>
      <c r="P215" s="2" t="s">
        <v>71</v>
      </c>
      <c r="Q215" s="2" t="s">
        <v>446</v>
      </c>
      <c r="AI215" s="2" t="str">
        <f t="shared" si="1"/>
        <v/>
      </c>
      <c r="AJ215" s="2" t="s">
        <v>49</v>
      </c>
      <c r="AK215" s="2" t="s">
        <v>50</v>
      </c>
    </row>
    <row r="216" ht="15.75" customHeight="1">
      <c r="A216" s="2" t="s">
        <v>39</v>
      </c>
      <c r="B216" s="3" t="str">
        <f>HYPERLINK("https://www.senado.gob.ar/parlamentario/comisiones/verExp/1591.25/S/PL","1591")</f>
        <v>1591</v>
      </c>
      <c r="C216" s="3" t="str">
        <f>HYPERLINK("https://www.senado.gob.ar/parlamentario/comisiones/verExp/1591.25/S/PL","2025")</f>
        <v>2025</v>
      </c>
      <c r="D216" s="2" t="s">
        <v>56</v>
      </c>
      <c r="E216" s="2" t="s">
        <v>507</v>
      </c>
      <c r="F216" s="2" t="s">
        <v>501</v>
      </c>
      <c r="I216" s="2" t="s">
        <v>505</v>
      </c>
      <c r="K216" s="2" t="s">
        <v>44</v>
      </c>
      <c r="L216" s="2" t="s">
        <v>444</v>
      </c>
      <c r="N216" s="2" t="s">
        <v>140</v>
      </c>
      <c r="O216" s="2">
        <v>75.0</v>
      </c>
      <c r="P216" s="2" t="s">
        <v>71</v>
      </c>
      <c r="Q216" s="2" t="s">
        <v>446</v>
      </c>
      <c r="AI216" s="2" t="str">
        <f t="shared" si="1"/>
        <v/>
      </c>
      <c r="AJ216" s="2" t="s">
        <v>49</v>
      </c>
      <c r="AK216" s="2" t="s">
        <v>50</v>
      </c>
    </row>
    <row r="217" ht="15.75" customHeight="1">
      <c r="A217" s="2" t="s">
        <v>39</v>
      </c>
      <c r="B217" s="3" t="str">
        <f>HYPERLINK("https://www.senado.gob.ar/parlamentario/comisiones/verExp/1586.25/S/PL","1586")</f>
        <v>1586</v>
      </c>
      <c r="C217" s="3" t="str">
        <f>HYPERLINK("https://www.senado.gob.ar/parlamentario/comisiones/verExp/1586.25/S/PL","2025")</f>
        <v>2025</v>
      </c>
      <c r="D217" s="2" t="s">
        <v>56</v>
      </c>
      <c r="E217" s="2" t="s">
        <v>508</v>
      </c>
      <c r="F217" s="2" t="s">
        <v>509</v>
      </c>
      <c r="I217" s="2" t="s">
        <v>510</v>
      </c>
      <c r="K217" s="2" t="s">
        <v>44</v>
      </c>
      <c r="L217" s="2" t="s">
        <v>502</v>
      </c>
      <c r="N217" s="2" t="s">
        <v>316</v>
      </c>
      <c r="O217" s="2">
        <v>75.0</v>
      </c>
      <c r="P217" s="2" t="s">
        <v>71</v>
      </c>
      <c r="Q217" s="2" t="s">
        <v>511</v>
      </c>
      <c r="S217" s="2">
        <v>54.0</v>
      </c>
      <c r="T217" s="2" t="s">
        <v>65</v>
      </c>
      <c r="U217" s="2" t="s">
        <v>511</v>
      </c>
      <c r="AI217" s="2" t="str">
        <f t="shared" si="1"/>
        <v/>
      </c>
      <c r="AJ217" s="2" t="s">
        <v>49</v>
      </c>
      <c r="AK217" s="2" t="s">
        <v>50</v>
      </c>
    </row>
    <row r="218" ht="15.75" customHeight="1">
      <c r="A218" s="2" t="s">
        <v>39</v>
      </c>
      <c r="B218" s="3" t="str">
        <f>HYPERLINK("https://www.senado.gob.ar/parlamentario/comisiones/verExp/1583.25/S/PL","1583")</f>
        <v>1583</v>
      </c>
      <c r="C218" s="3" t="str">
        <f>HYPERLINK("https://www.senado.gob.ar/parlamentario/comisiones/verExp/1583.25/S/PL","2025")</f>
        <v>2025</v>
      </c>
      <c r="D218" s="2" t="s">
        <v>56</v>
      </c>
      <c r="E218" s="2" t="s">
        <v>512</v>
      </c>
      <c r="F218" s="2" t="s">
        <v>509</v>
      </c>
      <c r="I218" s="2" t="s">
        <v>513</v>
      </c>
      <c r="K218" s="2" t="s">
        <v>44</v>
      </c>
      <c r="L218" s="2" t="s">
        <v>502</v>
      </c>
      <c r="N218" s="2" t="s">
        <v>514</v>
      </c>
      <c r="O218" s="2">
        <v>53.0</v>
      </c>
      <c r="P218" s="2" t="s">
        <v>76</v>
      </c>
      <c r="Q218" s="2" t="s">
        <v>511</v>
      </c>
      <c r="S218" s="2">
        <v>52.0</v>
      </c>
      <c r="T218" s="2" t="s">
        <v>78</v>
      </c>
      <c r="U218" s="2" t="s">
        <v>511</v>
      </c>
      <c r="W218" s="2">
        <v>57.0</v>
      </c>
      <c r="X218" s="2" t="s">
        <v>123</v>
      </c>
      <c r="Y218" s="2" t="s">
        <v>511</v>
      </c>
      <c r="AA218" s="2">
        <v>110.0</v>
      </c>
      <c r="AB218" s="2" t="s">
        <v>515</v>
      </c>
      <c r="AC218" s="2" t="s">
        <v>516</v>
      </c>
      <c r="AI218" s="2" t="str">
        <f t="shared" si="1"/>
        <v/>
      </c>
      <c r="AJ218" s="2" t="s">
        <v>49</v>
      </c>
      <c r="AK218" s="2" t="s">
        <v>50</v>
      </c>
    </row>
    <row r="219" ht="15.75" customHeight="1">
      <c r="A219" s="2" t="s">
        <v>39</v>
      </c>
      <c r="B219" s="3" t="str">
        <f>HYPERLINK("https://www.senado.gob.ar/parlamentario/comisiones/verExp/1571.25/S/PL","1571")</f>
        <v>1571</v>
      </c>
      <c r="C219" s="3" t="str">
        <f>HYPERLINK("https://www.senado.gob.ar/parlamentario/comisiones/verExp/1571.25/S/PL","2025")</f>
        <v>2025</v>
      </c>
      <c r="D219" s="2" t="s">
        <v>56</v>
      </c>
      <c r="E219" s="2" t="s">
        <v>517</v>
      </c>
      <c r="F219" s="2" t="s">
        <v>509</v>
      </c>
      <c r="I219" s="2" t="s">
        <v>518</v>
      </c>
      <c r="K219" s="2" t="s">
        <v>44</v>
      </c>
      <c r="L219" s="2" t="s">
        <v>502</v>
      </c>
      <c r="N219" s="2" t="s">
        <v>519</v>
      </c>
      <c r="O219" s="2">
        <v>70.0</v>
      </c>
      <c r="P219" s="2" t="s">
        <v>166</v>
      </c>
      <c r="Q219" s="2" t="s">
        <v>511</v>
      </c>
      <c r="S219" s="2">
        <v>54.0</v>
      </c>
      <c r="T219" s="2" t="s">
        <v>65</v>
      </c>
      <c r="U219" s="2" t="s">
        <v>511</v>
      </c>
      <c r="AI219" s="2" t="str">
        <f t="shared" si="1"/>
        <v/>
      </c>
      <c r="AJ219" s="2" t="s">
        <v>49</v>
      </c>
      <c r="AK219" s="2" t="s">
        <v>50</v>
      </c>
    </row>
    <row r="220" ht="15.75" customHeight="1">
      <c r="A220" s="2" t="s">
        <v>39</v>
      </c>
      <c r="B220" s="3" t="str">
        <f>HYPERLINK("https://www.senado.gob.ar/parlamentario/comisiones/verExp/1568.25/S/PL","1568")</f>
        <v>1568</v>
      </c>
      <c r="C220" s="3" t="str">
        <f>HYPERLINK("https://www.senado.gob.ar/parlamentario/comisiones/verExp/1568.25/S/PL","2025")</f>
        <v>2025</v>
      </c>
      <c r="D220" s="2" t="s">
        <v>56</v>
      </c>
      <c r="E220" s="2" t="s">
        <v>520</v>
      </c>
      <c r="F220" s="2" t="s">
        <v>521</v>
      </c>
      <c r="I220" s="2" t="s">
        <v>518</v>
      </c>
      <c r="K220" s="2" t="s">
        <v>44</v>
      </c>
      <c r="L220" s="2" t="s">
        <v>502</v>
      </c>
      <c r="N220" s="2" t="s">
        <v>522</v>
      </c>
      <c r="O220" s="2">
        <v>74.0</v>
      </c>
      <c r="P220" s="2" t="s">
        <v>256</v>
      </c>
      <c r="Q220" s="2" t="s">
        <v>511</v>
      </c>
      <c r="S220" s="2">
        <v>61.0</v>
      </c>
      <c r="T220" s="2" t="s">
        <v>104</v>
      </c>
      <c r="U220" s="2" t="s">
        <v>511</v>
      </c>
      <c r="W220" s="2">
        <v>54.0</v>
      </c>
      <c r="X220" s="2" t="s">
        <v>65</v>
      </c>
      <c r="Y220" s="2" t="s">
        <v>511</v>
      </c>
      <c r="AI220" s="2" t="str">
        <f t="shared" si="1"/>
        <v/>
      </c>
      <c r="AJ220" s="2" t="s">
        <v>49</v>
      </c>
      <c r="AK220" s="2" t="s">
        <v>50</v>
      </c>
    </row>
    <row r="221" ht="15.75" customHeight="1">
      <c r="A221" s="2" t="s">
        <v>39</v>
      </c>
      <c r="B221" s="3" t="str">
        <f>HYPERLINK("https://www.senado.gob.ar/parlamentario/comisiones/verExp/1566.25/S/PL","1566")</f>
        <v>1566</v>
      </c>
      <c r="C221" s="3" t="str">
        <f>HYPERLINK("https://www.senado.gob.ar/parlamentario/comisiones/verExp/1566.25/S/PL","2025")</f>
        <v>2025</v>
      </c>
      <c r="D221" s="2" t="s">
        <v>56</v>
      </c>
      <c r="E221" s="2" t="s">
        <v>523</v>
      </c>
      <c r="F221" s="2" t="s">
        <v>521</v>
      </c>
      <c r="I221" s="2" t="s">
        <v>524</v>
      </c>
      <c r="K221" s="2" t="s">
        <v>44</v>
      </c>
      <c r="L221" s="2" t="s">
        <v>502</v>
      </c>
      <c r="N221" s="2" t="s">
        <v>525</v>
      </c>
      <c r="O221" s="2">
        <v>53.0</v>
      </c>
      <c r="P221" s="2" t="s">
        <v>76</v>
      </c>
      <c r="Q221" s="2" t="s">
        <v>511</v>
      </c>
      <c r="S221" s="2">
        <v>70.0</v>
      </c>
      <c r="T221" s="2" t="s">
        <v>166</v>
      </c>
      <c r="U221" s="2" t="s">
        <v>511</v>
      </c>
      <c r="AI221" s="2" t="str">
        <f t="shared" si="1"/>
        <v/>
      </c>
      <c r="AJ221" s="2" t="s">
        <v>49</v>
      </c>
      <c r="AK221" s="2" t="s">
        <v>50</v>
      </c>
    </row>
    <row r="222" ht="15.75" customHeight="1">
      <c r="A222" s="2" t="s">
        <v>39</v>
      </c>
      <c r="B222" s="3" t="str">
        <f>HYPERLINK("https://www.senado.gob.ar/parlamentario/comisiones/verExp/1560.25/S/PL","1560")</f>
        <v>1560</v>
      </c>
      <c r="C222" s="3" t="str">
        <f>HYPERLINK("https://www.senado.gob.ar/parlamentario/comisiones/verExp/1560.25/S/PL","2025")</f>
        <v>2025</v>
      </c>
      <c r="D222" s="2" t="s">
        <v>56</v>
      </c>
      <c r="E222" s="2" t="s">
        <v>526</v>
      </c>
      <c r="F222" s="2" t="s">
        <v>521</v>
      </c>
      <c r="I222" s="2" t="s">
        <v>524</v>
      </c>
      <c r="K222" s="2" t="s">
        <v>44</v>
      </c>
      <c r="L222" s="2" t="s">
        <v>502</v>
      </c>
      <c r="N222" s="2" t="s">
        <v>386</v>
      </c>
      <c r="O222" s="2">
        <v>54.0</v>
      </c>
      <c r="P222" s="2" t="s">
        <v>65</v>
      </c>
      <c r="Q222" s="2" t="s">
        <v>511</v>
      </c>
      <c r="S222" s="2">
        <v>61.0</v>
      </c>
      <c r="T222" s="2" t="s">
        <v>104</v>
      </c>
      <c r="U222" s="2" t="s">
        <v>511</v>
      </c>
      <c r="AI222" s="2" t="str">
        <f t="shared" si="1"/>
        <v/>
      </c>
      <c r="AJ222" s="2" t="s">
        <v>49</v>
      </c>
      <c r="AK222" s="2" t="s">
        <v>50</v>
      </c>
    </row>
    <row r="223" ht="15.75" customHeight="1">
      <c r="A223" s="2" t="s">
        <v>39</v>
      </c>
      <c r="B223" s="3" t="str">
        <f>HYPERLINK("https://www.senado.gob.ar/parlamentario/comisiones/verExp/1544.25/S/PL","1544")</f>
        <v>1544</v>
      </c>
      <c r="C223" s="3" t="str">
        <f>HYPERLINK("https://www.senado.gob.ar/parlamentario/comisiones/verExp/1544.25/S/PL","2025")</f>
        <v>2025</v>
      </c>
      <c r="D223" s="2" t="s">
        <v>56</v>
      </c>
      <c r="E223" s="2" t="s">
        <v>527</v>
      </c>
      <c r="F223" s="2" t="s">
        <v>528</v>
      </c>
      <c r="I223" s="2" t="s">
        <v>529</v>
      </c>
      <c r="K223" s="2" t="s">
        <v>44</v>
      </c>
      <c r="L223" s="2" t="s">
        <v>502</v>
      </c>
      <c r="M223" s="2" t="s">
        <v>431</v>
      </c>
      <c r="N223" s="2" t="s">
        <v>168</v>
      </c>
      <c r="O223" s="2">
        <v>65.0</v>
      </c>
      <c r="P223" s="2" t="s">
        <v>153</v>
      </c>
      <c r="Q223" s="2" t="s">
        <v>511</v>
      </c>
      <c r="S223" s="2">
        <v>54.0</v>
      </c>
      <c r="T223" s="2" t="s">
        <v>65</v>
      </c>
      <c r="U223" s="2" t="s">
        <v>511</v>
      </c>
      <c r="AI223" s="2" t="str">
        <f t="shared" si="1"/>
        <v/>
      </c>
      <c r="AJ223" s="2" t="s">
        <v>49</v>
      </c>
      <c r="AK223" s="2" t="s">
        <v>50</v>
      </c>
    </row>
    <row r="224" ht="15.75" customHeight="1">
      <c r="A224" s="2" t="s">
        <v>39</v>
      </c>
      <c r="B224" s="3" t="str">
        <f>HYPERLINK("https://www.senado.gob.ar/parlamentario/comisiones/verExp/1533.25/S/PL","1533")</f>
        <v>1533</v>
      </c>
      <c r="C224" s="3" t="str">
        <f>HYPERLINK("https://www.senado.gob.ar/parlamentario/comisiones/verExp/1533.25/S/PL","2025")</f>
        <v>2025</v>
      </c>
      <c r="D224" s="2" t="s">
        <v>56</v>
      </c>
      <c r="E224" s="2" t="s">
        <v>530</v>
      </c>
      <c r="F224" s="2" t="s">
        <v>528</v>
      </c>
      <c r="I224" s="2" t="s">
        <v>531</v>
      </c>
      <c r="K224" s="2" t="s">
        <v>44</v>
      </c>
      <c r="L224" s="2" t="s">
        <v>502</v>
      </c>
      <c r="N224" s="2" t="s">
        <v>532</v>
      </c>
      <c r="O224" s="2">
        <v>58.0</v>
      </c>
      <c r="P224" s="2" t="s">
        <v>194</v>
      </c>
      <c r="Q224" s="2" t="s">
        <v>511</v>
      </c>
      <c r="S224" s="2">
        <v>54.0</v>
      </c>
      <c r="T224" s="2" t="s">
        <v>65</v>
      </c>
      <c r="U224" s="2" t="s">
        <v>511</v>
      </c>
      <c r="AI224" s="2" t="str">
        <f t="shared" si="1"/>
        <v/>
      </c>
      <c r="AJ224" s="2" t="s">
        <v>49</v>
      </c>
      <c r="AK224" s="2" t="s">
        <v>50</v>
      </c>
    </row>
    <row r="225" ht="15.75" customHeight="1">
      <c r="A225" s="2" t="s">
        <v>39</v>
      </c>
      <c r="B225" s="3" t="str">
        <f>HYPERLINK("https://www.senado.gob.ar/parlamentario/comisiones/verExp/1532.25/S/PL","1532")</f>
        <v>1532</v>
      </c>
      <c r="C225" s="3" t="str">
        <f>HYPERLINK("https://www.senado.gob.ar/parlamentario/comisiones/verExp/1532.25/S/PL","2025")</f>
        <v>2025</v>
      </c>
      <c r="D225" s="2" t="s">
        <v>56</v>
      </c>
      <c r="E225" s="2" t="s">
        <v>533</v>
      </c>
      <c r="F225" s="2" t="s">
        <v>528</v>
      </c>
      <c r="I225" s="2" t="s">
        <v>531</v>
      </c>
      <c r="K225" s="2" t="s">
        <v>44</v>
      </c>
      <c r="L225" s="2" t="s">
        <v>502</v>
      </c>
      <c r="N225" s="2" t="s">
        <v>75</v>
      </c>
      <c r="O225" s="2">
        <v>64.0</v>
      </c>
      <c r="P225" s="2" t="s">
        <v>186</v>
      </c>
      <c r="Q225" s="2" t="s">
        <v>511</v>
      </c>
      <c r="AI225" s="2" t="str">
        <f t="shared" si="1"/>
        <v/>
      </c>
      <c r="AJ225" s="2" t="s">
        <v>49</v>
      </c>
      <c r="AK225" s="2" t="s">
        <v>50</v>
      </c>
    </row>
    <row r="226" ht="15.75" customHeight="1">
      <c r="A226" s="2" t="s">
        <v>39</v>
      </c>
      <c r="B226" s="3" t="str">
        <f>HYPERLINK("https://www.senado.gob.ar/parlamentario/comisiones/verExp/1530.25/S/CO","1530")</f>
        <v>1530</v>
      </c>
      <c r="C226" s="3" t="str">
        <f>HYPERLINK("https://www.senado.gob.ar/parlamentario/comisiones/verExp/1530.25/S/CO","2025")</f>
        <v>2025</v>
      </c>
      <c r="D226" s="2" t="s">
        <v>40</v>
      </c>
      <c r="E226" s="2" t="s">
        <v>534</v>
      </c>
      <c r="F226" s="2" t="s">
        <v>535</v>
      </c>
      <c r="I226" s="2" t="s">
        <v>531</v>
      </c>
      <c r="K226" s="2" t="s">
        <v>44</v>
      </c>
      <c r="L226" s="2" t="s">
        <v>531</v>
      </c>
      <c r="N226" s="2" t="s">
        <v>407</v>
      </c>
      <c r="O226" s="2">
        <v>50.0</v>
      </c>
      <c r="P226" s="2" t="s">
        <v>47</v>
      </c>
      <c r="Q226" s="2" t="s">
        <v>536</v>
      </c>
      <c r="AI226" s="2" t="str">
        <f t="shared" si="1"/>
        <v/>
      </c>
      <c r="AJ226" s="2" t="s">
        <v>49</v>
      </c>
      <c r="AK226" s="2" t="s">
        <v>50</v>
      </c>
    </row>
    <row r="227" ht="15.75" customHeight="1">
      <c r="A227" s="2" t="s">
        <v>39</v>
      </c>
      <c r="B227" s="3" t="str">
        <f>HYPERLINK("https://www.senado.gob.ar/parlamentario/comisiones/verExp/1529.25/S/PR","1529")</f>
        <v>1529</v>
      </c>
      <c r="C227" s="3" t="str">
        <f>HYPERLINK("https://www.senado.gob.ar/parlamentario/comisiones/verExp/1529.25/S/PR","2025")</f>
        <v>2025</v>
      </c>
      <c r="D227" s="2" t="s">
        <v>145</v>
      </c>
      <c r="E227" s="2" t="s">
        <v>537</v>
      </c>
      <c r="F227" s="2" t="s">
        <v>528</v>
      </c>
      <c r="I227" s="2" t="s">
        <v>531</v>
      </c>
      <c r="K227" s="2" t="s">
        <v>44</v>
      </c>
      <c r="L227" s="2" t="s">
        <v>502</v>
      </c>
      <c r="N227" s="2" t="s">
        <v>538</v>
      </c>
      <c r="O227" s="2">
        <v>50.0</v>
      </c>
      <c r="P227" s="2" t="s">
        <v>47</v>
      </c>
      <c r="Q227" s="2" t="s">
        <v>511</v>
      </c>
      <c r="S227" s="2">
        <v>51.0</v>
      </c>
      <c r="T227" s="2" t="s">
        <v>62</v>
      </c>
      <c r="U227" s="2" t="s">
        <v>511</v>
      </c>
      <c r="AI227" s="2" t="str">
        <f t="shared" si="1"/>
        <v/>
      </c>
      <c r="AJ227" s="2" t="s">
        <v>49</v>
      </c>
      <c r="AK227" s="2" t="s">
        <v>50</v>
      </c>
    </row>
    <row r="228" ht="15.75" customHeight="1">
      <c r="A228" s="2" t="s">
        <v>39</v>
      </c>
      <c r="B228" s="3" t="str">
        <f>HYPERLINK("https://www.senado.gob.ar/parlamentario/comisiones/verExp/1528.25/S/CO","1528")</f>
        <v>1528</v>
      </c>
      <c r="C228" s="3" t="str">
        <f>HYPERLINK("https://www.senado.gob.ar/parlamentario/comisiones/verExp/1528.25/S/CO","2025")</f>
        <v>2025</v>
      </c>
      <c r="D228" s="2" t="s">
        <v>40</v>
      </c>
      <c r="E228" s="2" t="s">
        <v>86</v>
      </c>
      <c r="F228" s="2" t="s">
        <v>535</v>
      </c>
      <c r="I228" s="2" t="s">
        <v>531</v>
      </c>
      <c r="K228" s="2" t="s">
        <v>44</v>
      </c>
      <c r="L228" s="2" t="s">
        <v>531</v>
      </c>
      <c r="N228" s="2" t="s">
        <v>88</v>
      </c>
      <c r="O228" s="2">
        <v>50.0</v>
      </c>
      <c r="P228" s="2" t="s">
        <v>47</v>
      </c>
      <c r="Q228" s="2" t="s">
        <v>536</v>
      </c>
      <c r="AI228" s="2" t="str">
        <f t="shared" si="1"/>
        <v/>
      </c>
      <c r="AJ228" s="2" t="s">
        <v>49</v>
      </c>
      <c r="AK228" s="2" t="s">
        <v>50</v>
      </c>
    </row>
    <row r="229" ht="15.75" customHeight="1">
      <c r="A229" s="2" t="s">
        <v>39</v>
      </c>
      <c r="B229" s="3" t="str">
        <f>HYPERLINK("https://www.senado.gob.ar/parlamentario/comisiones/verExp/1527.25/S/CO","1527")</f>
        <v>1527</v>
      </c>
      <c r="C229" s="3" t="str">
        <f>HYPERLINK("https://www.senado.gob.ar/parlamentario/comisiones/verExp/1527.25/S/CO","2025")</f>
        <v>2025</v>
      </c>
      <c r="D229" s="2" t="s">
        <v>40</v>
      </c>
      <c r="E229" s="2" t="s">
        <v>539</v>
      </c>
      <c r="F229" s="2" t="s">
        <v>535</v>
      </c>
      <c r="I229" s="2" t="s">
        <v>531</v>
      </c>
      <c r="K229" s="2" t="s">
        <v>44</v>
      </c>
      <c r="L229" s="2" t="s">
        <v>531</v>
      </c>
      <c r="N229" s="2" t="s">
        <v>137</v>
      </c>
      <c r="O229" s="2">
        <v>50.0</v>
      </c>
      <c r="P229" s="2" t="s">
        <v>47</v>
      </c>
      <c r="Q229" s="2" t="s">
        <v>536</v>
      </c>
      <c r="AI229" s="2" t="str">
        <f t="shared" si="1"/>
        <v/>
      </c>
      <c r="AJ229" s="2" t="s">
        <v>49</v>
      </c>
      <c r="AK229" s="2" t="s">
        <v>50</v>
      </c>
    </row>
    <row r="230" ht="15.75" customHeight="1">
      <c r="A230" s="2" t="s">
        <v>39</v>
      </c>
      <c r="B230" s="3" t="str">
        <f>HYPERLINK("https://www.senado.gob.ar/parlamentario/comisiones/verExp/1526.25/S/CO","1526")</f>
        <v>1526</v>
      </c>
      <c r="C230" s="3" t="str">
        <f>HYPERLINK("https://www.senado.gob.ar/parlamentario/comisiones/verExp/1526.25/S/CO","2025")</f>
        <v>2025</v>
      </c>
      <c r="D230" s="2" t="s">
        <v>40</v>
      </c>
      <c r="E230" s="2" t="s">
        <v>540</v>
      </c>
      <c r="F230" s="2" t="s">
        <v>535</v>
      </c>
      <c r="I230" s="2" t="s">
        <v>531</v>
      </c>
      <c r="K230" s="2" t="s">
        <v>44</v>
      </c>
      <c r="L230" s="2" t="s">
        <v>531</v>
      </c>
      <c r="N230" s="2" t="s">
        <v>427</v>
      </c>
      <c r="O230" s="2">
        <v>50.0</v>
      </c>
      <c r="P230" s="2" t="s">
        <v>47</v>
      </c>
      <c r="Q230" s="2" t="s">
        <v>536</v>
      </c>
      <c r="AI230" s="2" t="str">
        <f t="shared" si="1"/>
        <v/>
      </c>
      <c r="AJ230" s="2" t="s">
        <v>49</v>
      </c>
      <c r="AK230" s="2" t="s">
        <v>50</v>
      </c>
    </row>
    <row r="231" ht="15.75" customHeight="1">
      <c r="A231" s="2" t="s">
        <v>39</v>
      </c>
      <c r="B231" s="3" t="str">
        <f>HYPERLINK("https://www.senado.gob.ar/parlamentario/comisiones/verExp/1525.25/S/CO","1525")</f>
        <v>1525</v>
      </c>
      <c r="C231" s="3" t="str">
        <f>HYPERLINK("https://www.senado.gob.ar/parlamentario/comisiones/verExp/1525.25/S/CO","2025")</f>
        <v>2025</v>
      </c>
      <c r="D231" s="2" t="s">
        <v>40</v>
      </c>
      <c r="E231" s="2" t="s">
        <v>541</v>
      </c>
      <c r="F231" s="2" t="s">
        <v>535</v>
      </c>
      <c r="I231" s="2" t="s">
        <v>531</v>
      </c>
      <c r="K231" s="2" t="s">
        <v>44</v>
      </c>
      <c r="L231" s="2" t="s">
        <v>531</v>
      </c>
      <c r="N231" s="2" t="s">
        <v>140</v>
      </c>
      <c r="O231" s="2">
        <v>50.0</v>
      </c>
      <c r="P231" s="2" t="s">
        <v>47</v>
      </c>
      <c r="Q231" s="2" t="s">
        <v>536</v>
      </c>
      <c r="AI231" s="2" t="str">
        <f t="shared" si="1"/>
        <v/>
      </c>
      <c r="AJ231" s="2" t="s">
        <v>49</v>
      </c>
      <c r="AK231" s="2" t="s">
        <v>50</v>
      </c>
    </row>
    <row r="232" ht="15.75" customHeight="1">
      <c r="A232" s="2" t="s">
        <v>39</v>
      </c>
      <c r="B232" s="3" t="str">
        <f>HYPERLINK("https://www.senado.gob.ar/parlamentario/comisiones/verExp/1524.25/S/CO","1524")</f>
        <v>1524</v>
      </c>
      <c r="C232" s="3" t="str">
        <f>HYPERLINK("https://www.senado.gob.ar/parlamentario/comisiones/verExp/1524.25/S/CO","2025")</f>
        <v>2025</v>
      </c>
      <c r="D232" s="2" t="s">
        <v>40</v>
      </c>
      <c r="E232" s="2" t="s">
        <v>41</v>
      </c>
      <c r="F232" s="2" t="s">
        <v>535</v>
      </c>
      <c r="I232" s="2" t="s">
        <v>531</v>
      </c>
      <c r="K232" s="2" t="s">
        <v>44</v>
      </c>
      <c r="L232" s="2" t="s">
        <v>531</v>
      </c>
      <c r="N232" s="2" t="s">
        <v>46</v>
      </c>
      <c r="O232" s="2">
        <v>50.0</v>
      </c>
      <c r="P232" s="2" t="s">
        <v>47</v>
      </c>
      <c r="Q232" s="2" t="s">
        <v>536</v>
      </c>
      <c r="AI232" s="2" t="str">
        <f t="shared" si="1"/>
        <v/>
      </c>
      <c r="AJ232" s="2" t="s">
        <v>49</v>
      </c>
      <c r="AK232" s="2" t="s">
        <v>50</v>
      </c>
    </row>
    <row r="233" ht="15.75" customHeight="1">
      <c r="A233" s="2" t="s">
        <v>39</v>
      </c>
      <c r="B233" s="3" t="str">
        <f>HYPERLINK("https://www.senado.gob.ar/parlamentario/comisiones/verExp/1523.25/S/CO","1523")</f>
        <v>1523</v>
      </c>
      <c r="C233" s="3" t="str">
        <f>HYPERLINK("https://www.senado.gob.ar/parlamentario/comisiones/verExp/1523.25/S/CO","2025")</f>
        <v>2025</v>
      </c>
      <c r="D233" s="2" t="s">
        <v>40</v>
      </c>
      <c r="E233" s="2" t="s">
        <v>542</v>
      </c>
      <c r="F233" s="2" t="s">
        <v>535</v>
      </c>
      <c r="I233" s="2" t="s">
        <v>531</v>
      </c>
      <c r="K233" s="2" t="s">
        <v>44</v>
      </c>
      <c r="L233" s="2" t="s">
        <v>531</v>
      </c>
      <c r="N233" s="2" t="s">
        <v>543</v>
      </c>
      <c r="O233" s="2">
        <v>50.0</v>
      </c>
      <c r="P233" s="2" t="s">
        <v>47</v>
      </c>
      <c r="Q233" s="2" t="s">
        <v>536</v>
      </c>
      <c r="AI233" s="2" t="str">
        <f t="shared" si="1"/>
        <v/>
      </c>
      <c r="AJ233" s="2" t="s">
        <v>49</v>
      </c>
      <c r="AK233" s="2" t="s">
        <v>50</v>
      </c>
    </row>
    <row r="234" ht="15.75" customHeight="1">
      <c r="A234" s="2" t="s">
        <v>39</v>
      </c>
      <c r="B234" s="3" t="str">
        <f>HYPERLINK("https://www.senado.gob.ar/parlamentario/comisiones/verExp/1517.25/S/PL","1517")</f>
        <v>1517</v>
      </c>
      <c r="C234" s="3" t="str">
        <f>HYPERLINK("https://www.senado.gob.ar/parlamentario/comisiones/verExp/1517.25/S/PL","2025")</f>
        <v>2025</v>
      </c>
      <c r="D234" s="2" t="s">
        <v>56</v>
      </c>
      <c r="E234" s="2" t="s">
        <v>544</v>
      </c>
      <c r="F234" s="2" t="s">
        <v>545</v>
      </c>
      <c r="I234" s="2" t="s">
        <v>546</v>
      </c>
      <c r="K234" s="2" t="s">
        <v>44</v>
      </c>
      <c r="L234" s="2" t="s">
        <v>502</v>
      </c>
      <c r="N234" s="2" t="s">
        <v>547</v>
      </c>
      <c r="O234" s="2">
        <v>68.0</v>
      </c>
      <c r="P234" s="2" t="s">
        <v>180</v>
      </c>
      <c r="Q234" s="2" t="s">
        <v>511</v>
      </c>
      <c r="S234" s="2">
        <v>74.0</v>
      </c>
      <c r="T234" s="2" t="s">
        <v>256</v>
      </c>
      <c r="U234" s="2" t="s">
        <v>511</v>
      </c>
      <c r="W234" s="2">
        <v>54.0</v>
      </c>
      <c r="X234" s="2" t="s">
        <v>65</v>
      </c>
      <c r="Y234" s="2" t="s">
        <v>511</v>
      </c>
      <c r="AI234" s="2" t="str">
        <f t="shared" si="1"/>
        <v/>
      </c>
      <c r="AJ234" s="2" t="s">
        <v>49</v>
      </c>
      <c r="AK234" s="2" t="s">
        <v>50</v>
      </c>
    </row>
    <row r="235" ht="15.75" customHeight="1">
      <c r="A235" s="2" t="s">
        <v>39</v>
      </c>
      <c r="B235" s="3" t="str">
        <f>HYPERLINK("https://www.senado.gob.ar/parlamentario/comisiones/verExp/1516.25/S/PL","1516")</f>
        <v>1516</v>
      </c>
      <c r="C235" s="3" t="str">
        <f>HYPERLINK("https://www.senado.gob.ar/parlamentario/comisiones/verExp/1516.25/S/PL","2025")</f>
        <v>2025</v>
      </c>
      <c r="D235" s="2" t="s">
        <v>56</v>
      </c>
      <c r="E235" s="2" t="s">
        <v>548</v>
      </c>
      <c r="F235" s="2" t="s">
        <v>545</v>
      </c>
      <c r="I235" s="2" t="s">
        <v>546</v>
      </c>
      <c r="K235" s="2" t="s">
        <v>44</v>
      </c>
      <c r="L235" s="2" t="s">
        <v>502</v>
      </c>
      <c r="N235" s="2" t="s">
        <v>226</v>
      </c>
      <c r="O235" s="2">
        <v>70.0</v>
      </c>
      <c r="P235" s="2" t="s">
        <v>166</v>
      </c>
      <c r="Q235" s="2" t="s">
        <v>511</v>
      </c>
      <c r="S235" s="2">
        <v>54.0</v>
      </c>
      <c r="T235" s="2" t="s">
        <v>65</v>
      </c>
      <c r="U235" s="2" t="s">
        <v>511</v>
      </c>
      <c r="AI235" s="2" t="str">
        <f t="shared" si="1"/>
        <v/>
      </c>
      <c r="AJ235" s="2" t="s">
        <v>49</v>
      </c>
      <c r="AK235" s="2" t="s">
        <v>50</v>
      </c>
    </row>
    <row r="236" ht="15.75" customHeight="1">
      <c r="A236" s="2" t="s">
        <v>39</v>
      </c>
      <c r="B236" s="3" t="str">
        <f>HYPERLINK("https://www.senado.gob.ar/parlamentario/comisiones/verExp/1513.25/S/PL","1513")</f>
        <v>1513</v>
      </c>
      <c r="C236" s="3" t="str">
        <f>HYPERLINK("https://www.senado.gob.ar/parlamentario/comisiones/verExp/1513.25/S/PL","2025")</f>
        <v>2025</v>
      </c>
      <c r="D236" s="2" t="s">
        <v>56</v>
      </c>
      <c r="E236" s="2" t="s">
        <v>549</v>
      </c>
      <c r="F236" s="2" t="s">
        <v>545</v>
      </c>
      <c r="I236" s="2" t="s">
        <v>550</v>
      </c>
      <c r="K236" s="2" t="s">
        <v>44</v>
      </c>
      <c r="L236" s="2" t="s">
        <v>502</v>
      </c>
      <c r="M236" s="2" t="s">
        <v>485</v>
      </c>
      <c r="N236" s="2" t="s">
        <v>551</v>
      </c>
      <c r="O236" s="2">
        <v>68.0</v>
      </c>
      <c r="P236" s="2" t="s">
        <v>180</v>
      </c>
      <c r="Q236" s="2" t="s">
        <v>511</v>
      </c>
      <c r="S236" s="2">
        <v>54.0</v>
      </c>
      <c r="T236" s="2" t="s">
        <v>65</v>
      </c>
      <c r="U236" s="2" t="s">
        <v>511</v>
      </c>
      <c r="AI236" s="2" t="str">
        <f t="shared" si="1"/>
        <v/>
      </c>
      <c r="AJ236" s="2" t="s">
        <v>49</v>
      </c>
      <c r="AK236" s="2" t="s">
        <v>50</v>
      </c>
    </row>
    <row r="237" ht="15.75" customHeight="1">
      <c r="A237" s="2" t="s">
        <v>39</v>
      </c>
      <c r="B237" s="3" t="str">
        <f>HYPERLINK("https://www.senado.gob.ar/parlamentario/comisiones/verExp/1509.25/S/PL","1509")</f>
        <v>1509</v>
      </c>
      <c r="C237" s="3" t="str">
        <f>HYPERLINK("https://www.senado.gob.ar/parlamentario/comisiones/verExp/1509.25/S/PL","2025")</f>
        <v>2025</v>
      </c>
      <c r="D237" s="2" t="s">
        <v>56</v>
      </c>
      <c r="E237" s="2" t="s">
        <v>552</v>
      </c>
      <c r="F237" s="2" t="s">
        <v>545</v>
      </c>
      <c r="I237" s="2" t="s">
        <v>550</v>
      </c>
      <c r="K237" s="2" t="s">
        <v>44</v>
      </c>
      <c r="L237" s="2" t="s">
        <v>502</v>
      </c>
      <c r="N237" s="2" t="s">
        <v>380</v>
      </c>
      <c r="O237" s="2">
        <v>70.0</v>
      </c>
      <c r="P237" s="2" t="s">
        <v>166</v>
      </c>
      <c r="Q237" s="2" t="s">
        <v>511</v>
      </c>
      <c r="S237" s="2">
        <v>54.0</v>
      </c>
      <c r="T237" s="2" t="s">
        <v>65</v>
      </c>
      <c r="U237" s="2" t="s">
        <v>511</v>
      </c>
      <c r="W237" s="2">
        <v>50.0</v>
      </c>
      <c r="X237" s="2" t="s">
        <v>47</v>
      </c>
      <c r="Y237" s="2" t="s">
        <v>511</v>
      </c>
      <c r="AA237" s="2">
        <v>52.0</v>
      </c>
      <c r="AB237" s="2" t="s">
        <v>78</v>
      </c>
      <c r="AC237" s="2" t="s">
        <v>511</v>
      </c>
      <c r="AI237" s="2" t="str">
        <f t="shared" si="1"/>
        <v/>
      </c>
      <c r="AJ237" s="2" t="s">
        <v>49</v>
      </c>
      <c r="AK237" s="2" t="s">
        <v>50</v>
      </c>
    </row>
    <row r="238" ht="15.75" customHeight="1">
      <c r="A238" s="2" t="s">
        <v>39</v>
      </c>
      <c r="B238" s="3" t="str">
        <f>HYPERLINK("https://www.senado.gob.ar/parlamentario/comisiones/verExp/1508.25/S/PL","1508")</f>
        <v>1508</v>
      </c>
      <c r="C238" s="3" t="str">
        <f>HYPERLINK("https://www.senado.gob.ar/parlamentario/comisiones/verExp/1508.25/S/PL","2025")</f>
        <v>2025</v>
      </c>
      <c r="D238" s="2" t="s">
        <v>56</v>
      </c>
      <c r="E238" s="2" t="s">
        <v>553</v>
      </c>
      <c r="F238" s="2" t="s">
        <v>545</v>
      </c>
      <c r="I238" s="2" t="s">
        <v>550</v>
      </c>
      <c r="K238" s="2" t="s">
        <v>44</v>
      </c>
      <c r="L238" s="2" t="s">
        <v>502</v>
      </c>
      <c r="N238" s="2" t="s">
        <v>380</v>
      </c>
      <c r="O238" s="2">
        <v>53.0</v>
      </c>
      <c r="P238" s="2" t="s">
        <v>76</v>
      </c>
      <c r="Q238" s="2" t="s">
        <v>511</v>
      </c>
      <c r="S238" s="2">
        <v>70.0</v>
      </c>
      <c r="T238" s="2" t="s">
        <v>166</v>
      </c>
      <c r="U238" s="2" t="s">
        <v>511</v>
      </c>
      <c r="W238" s="2">
        <v>54.0</v>
      </c>
      <c r="X238" s="2" t="s">
        <v>65</v>
      </c>
      <c r="Y238" s="2" t="s">
        <v>511</v>
      </c>
      <c r="AI238" s="2" t="str">
        <f t="shared" si="1"/>
        <v/>
      </c>
      <c r="AJ238" s="2" t="s">
        <v>49</v>
      </c>
      <c r="AK238" s="2" t="s">
        <v>50</v>
      </c>
    </row>
    <row r="239" ht="15.75" customHeight="1">
      <c r="A239" s="2" t="s">
        <v>39</v>
      </c>
      <c r="B239" s="3" t="str">
        <f>HYPERLINK("https://www.senado.gob.ar/parlamentario/comisiones/verExp/1506.25/S/PL","1506")</f>
        <v>1506</v>
      </c>
      <c r="C239" s="3" t="str">
        <f>HYPERLINK("https://www.senado.gob.ar/parlamentario/comisiones/verExp/1506.25/S/PL","2025")</f>
        <v>2025</v>
      </c>
      <c r="D239" s="2" t="s">
        <v>56</v>
      </c>
      <c r="E239" s="2" t="s">
        <v>554</v>
      </c>
      <c r="F239" s="2" t="s">
        <v>545</v>
      </c>
      <c r="I239" s="2" t="s">
        <v>550</v>
      </c>
      <c r="K239" s="2" t="s">
        <v>44</v>
      </c>
      <c r="L239" s="2" t="s">
        <v>502</v>
      </c>
      <c r="N239" s="2" t="s">
        <v>287</v>
      </c>
      <c r="O239" s="2">
        <v>61.0</v>
      </c>
      <c r="P239" s="2" t="s">
        <v>104</v>
      </c>
      <c r="Q239" s="2" t="s">
        <v>511</v>
      </c>
      <c r="S239" s="2">
        <v>75.0</v>
      </c>
      <c r="T239" s="2" t="s">
        <v>71</v>
      </c>
      <c r="U239" s="2" t="s">
        <v>511</v>
      </c>
      <c r="W239" s="2">
        <v>54.0</v>
      </c>
      <c r="X239" s="2" t="s">
        <v>65</v>
      </c>
      <c r="Y239" s="2" t="s">
        <v>511</v>
      </c>
      <c r="AI239" s="2" t="str">
        <f t="shared" si="1"/>
        <v/>
      </c>
      <c r="AJ239" s="2" t="s">
        <v>49</v>
      </c>
      <c r="AK239" s="2" t="s">
        <v>50</v>
      </c>
    </row>
    <row r="240" ht="15.75" customHeight="1">
      <c r="A240" s="2" t="s">
        <v>39</v>
      </c>
      <c r="B240" s="3" t="str">
        <f>HYPERLINK("https://www.senado.gob.ar/parlamentario/comisiones/verExp/1503.25/S/PR","1503")</f>
        <v>1503</v>
      </c>
      <c r="C240" s="3" t="str">
        <f>HYPERLINK("https://www.senado.gob.ar/parlamentario/comisiones/verExp/1503.25/S/PR","2025")</f>
        <v>2025</v>
      </c>
      <c r="D240" s="2" t="s">
        <v>145</v>
      </c>
      <c r="E240" s="2" t="s">
        <v>555</v>
      </c>
      <c r="F240" s="2" t="s">
        <v>556</v>
      </c>
      <c r="I240" s="2" t="s">
        <v>550</v>
      </c>
      <c r="K240" s="2" t="s">
        <v>44</v>
      </c>
      <c r="L240" s="2" t="s">
        <v>502</v>
      </c>
      <c r="N240" s="2" t="s">
        <v>557</v>
      </c>
      <c r="O240" s="2">
        <v>50.0</v>
      </c>
      <c r="P240" s="2" t="s">
        <v>47</v>
      </c>
      <c r="Q240" s="2" t="s">
        <v>511</v>
      </c>
      <c r="S240" s="2">
        <v>54.0</v>
      </c>
      <c r="T240" s="2" t="s">
        <v>65</v>
      </c>
      <c r="U240" s="2" t="s">
        <v>511</v>
      </c>
      <c r="AI240" s="2" t="str">
        <f t="shared" si="1"/>
        <v/>
      </c>
      <c r="AJ240" s="2" t="s">
        <v>49</v>
      </c>
      <c r="AK240" s="2" t="s">
        <v>50</v>
      </c>
    </row>
    <row r="241" ht="15.75" customHeight="1">
      <c r="A241" s="2" t="s">
        <v>39</v>
      </c>
      <c r="B241" s="3" t="str">
        <f>HYPERLINK("https://www.senado.gob.ar/parlamentario/comisiones/verExp/1502.25/S/PL","1502")</f>
        <v>1502</v>
      </c>
      <c r="C241" s="3" t="str">
        <f>HYPERLINK("https://www.senado.gob.ar/parlamentario/comisiones/verExp/1502.25/S/PL","2025")</f>
        <v>2025</v>
      </c>
      <c r="D241" s="2" t="s">
        <v>56</v>
      </c>
      <c r="E241" s="2" t="s">
        <v>558</v>
      </c>
      <c r="F241" s="2" t="s">
        <v>556</v>
      </c>
      <c r="I241" s="2" t="s">
        <v>550</v>
      </c>
      <c r="K241" s="2" t="s">
        <v>44</v>
      </c>
      <c r="L241" s="2" t="s">
        <v>502</v>
      </c>
      <c r="N241" s="2" t="s">
        <v>279</v>
      </c>
      <c r="O241" s="2">
        <v>54.0</v>
      </c>
      <c r="P241" s="2" t="s">
        <v>65</v>
      </c>
      <c r="Q241" s="2" t="s">
        <v>511</v>
      </c>
      <c r="AI241" s="2" t="str">
        <f t="shared" si="1"/>
        <v/>
      </c>
      <c r="AJ241" s="2" t="s">
        <v>49</v>
      </c>
      <c r="AK241" s="2" t="s">
        <v>50</v>
      </c>
    </row>
    <row r="242" ht="15.75" customHeight="1">
      <c r="A242" s="2" t="s">
        <v>39</v>
      </c>
      <c r="B242" s="3" t="str">
        <f>HYPERLINK("https://www.senado.gob.ar/parlamentario/comisiones/verExp/1487.25/S/PR","1487")</f>
        <v>1487</v>
      </c>
      <c r="C242" s="3" t="str">
        <f>HYPERLINK("https://www.senado.gob.ar/parlamentario/comisiones/verExp/1487.25/S/PR","2025")</f>
        <v>2025</v>
      </c>
      <c r="D242" s="2" t="s">
        <v>145</v>
      </c>
      <c r="E242" s="2" t="s">
        <v>559</v>
      </c>
      <c r="F242" s="2" t="s">
        <v>560</v>
      </c>
      <c r="I242" s="2" t="s">
        <v>561</v>
      </c>
      <c r="K242" s="2" t="s">
        <v>44</v>
      </c>
      <c r="L242" s="2" t="s">
        <v>562</v>
      </c>
      <c r="N242" s="2" t="s">
        <v>563</v>
      </c>
      <c r="O242" s="2">
        <v>75.0</v>
      </c>
      <c r="P242" s="2" t="s">
        <v>71</v>
      </c>
      <c r="Q242" s="2" t="s">
        <v>564</v>
      </c>
      <c r="AI242" s="2" t="str">
        <f t="shared" si="1"/>
        <v/>
      </c>
      <c r="AJ242" s="2" t="s">
        <v>49</v>
      </c>
      <c r="AK242" s="2" t="s">
        <v>50</v>
      </c>
    </row>
    <row r="243" ht="15.75" customHeight="1">
      <c r="A243" s="2" t="s">
        <v>39</v>
      </c>
      <c r="B243" s="3" t="str">
        <f>HYPERLINK("https://www.senado.gob.ar/parlamentario/comisiones/verExp/1480.25/S/PL","1480")</f>
        <v>1480</v>
      </c>
      <c r="C243" s="3" t="str">
        <f>HYPERLINK("https://www.senado.gob.ar/parlamentario/comisiones/verExp/1480.25/S/PL","2025")</f>
        <v>2025</v>
      </c>
      <c r="D243" s="2" t="s">
        <v>56</v>
      </c>
      <c r="E243" s="2" t="s">
        <v>565</v>
      </c>
      <c r="F243" s="2" t="s">
        <v>566</v>
      </c>
      <c r="I243" s="2" t="s">
        <v>567</v>
      </c>
      <c r="K243" s="2" t="s">
        <v>44</v>
      </c>
      <c r="L243" s="2" t="s">
        <v>561</v>
      </c>
      <c r="N243" s="2" t="s">
        <v>568</v>
      </c>
      <c r="O243" s="2">
        <v>75.0</v>
      </c>
      <c r="P243" s="2" t="s">
        <v>71</v>
      </c>
      <c r="Q243" s="2" t="s">
        <v>569</v>
      </c>
      <c r="S243" s="2">
        <v>78.0</v>
      </c>
      <c r="T243" s="2" t="s">
        <v>73</v>
      </c>
      <c r="U243" s="2" t="s">
        <v>569</v>
      </c>
      <c r="AI243" s="2" t="str">
        <f t="shared" si="1"/>
        <v/>
      </c>
      <c r="AJ243" s="2" t="s">
        <v>49</v>
      </c>
      <c r="AK243" s="2" t="s">
        <v>50</v>
      </c>
    </row>
    <row r="244" ht="15.75" customHeight="1">
      <c r="A244" s="2" t="s">
        <v>39</v>
      </c>
      <c r="B244" s="3" t="str">
        <f>HYPERLINK("https://www.senado.gob.ar/parlamentario/comisiones/verExp/1476.25/S/PL","1476")</f>
        <v>1476</v>
      </c>
      <c r="C244" s="3" t="str">
        <f>HYPERLINK("https://www.senado.gob.ar/parlamentario/comisiones/verExp/1476.25/S/PL","2025")</f>
        <v>2025</v>
      </c>
      <c r="D244" s="2" t="s">
        <v>56</v>
      </c>
      <c r="E244" s="2" t="s">
        <v>570</v>
      </c>
      <c r="F244" s="2" t="s">
        <v>566</v>
      </c>
      <c r="I244" s="2" t="s">
        <v>567</v>
      </c>
      <c r="K244" s="2" t="s">
        <v>44</v>
      </c>
      <c r="L244" s="2" t="s">
        <v>561</v>
      </c>
      <c r="N244" s="2" t="s">
        <v>261</v>
      </c>
      <c r="O244" s="2">
        <v>52.0</v>
      </c>
      <c r="P244" s="2" t="s">
        <v>78</v>
      </c>
      <c r="Q244" s="2" t="s">
        <v>569</v>
      </c>
      <c r="AI244" s="2" t="str">
        <f t="shared" si="1"/>
        <v/>
      </c>
      <c r="AJ244" s="2" t="s">
        <v>49</v>
      </c>
      <c r="AK244" s="2" t="s">
        <v>50</v>
      </c>
    </row>
    <row r="245" ht="15.75" customHeight="1">
      <c r="A245" s="2" t="s">
        <v>39</v>
      </c>
      <c r="B245" s="3" t="str">
        <f>HYPERLINK("https://www.senado.gob.ar/parlamentario/comisiones/verExp/1475.25/S/PR","1475")</f>
        <v>1475</v>
      </c>
      <c r="C245" s="3" t="str">
        <f>HYPERLINK("https://www.senado.gob.ar/parlamentario/comisiones/verExp/1475.25/S/PR","2025")</f>
        <v>2025</v>
      </c>
      <c r="D245" s="2" t="s">
        <v>145</v>
      </c>
      <c r="E245" s="2" t="s">
        <v>571</v>
      </c>
      <c r="F245" s="2" t="s">
        <v>566</v>
      </c>
      <c r="I245" s="2" t="s">
        <v>567</v>
      </c>
      <c r="K245" s="2" t="s">
        <v>44</v>
      </c>
      <c r="L245" s="2" t="s">
        <v>561</v>
      </c>
      <c r="N245" s="2" t="s">
        <v>572</v>
      </c>
      <c r="O245" s="2">
        <v>70.0</v>
      </c>
      <c r="P245" s="2" t="s">
        <v>166</v>
      </c>
      <c r="Q245" s="2" t="s">
        <v>569</v>
      </c>
      <c r="S245" s="2">
        <v>54.0</v>
      </c>
      <c r="T245" s="2" t="s">
        <v>65</v>
      </c>
      <c r="U245" s="2" t="s">
        <v>569</v>
      </c>
      <c r="AI245" s="2" t="str">
        <f t="shared" si="1"/>
        <v/>
      </c>
      <c r="AJ245" s="2" t="s">
        <v>49</v>
      </c>
      <c r="AK245" s="2" t="s">
        <v>50</v>
      </c>
    </row>
    <row r="246" ht="15.75" customHeight="1">
      <c r="A246" s="2" t="s">
        <v>39</v>
      </c>
      <c r="B246" s="3" t="str">
        <f>HYPERLINK("https://www.senado.gob.ar/parlamentario/comisiones/verExp/1471.25/S/PL","1471")</f>
        <v>1471</v>
      </c>
      <c r="C246" s="3" t="str">
        <f>HYPERLINK("https://www.senado.gob.ar/parlamentario/comisiones/verExp/1471.25/S/PL","2025")</f>
        <v>2025</v>
      </c>
      <c r="D246" s="2" t="s">
        <v>56</v>
      </c>
      <c r="E246" s="2" t="s">
        <v>573</v>
      </c>
      <c r="F246" s="2" t="s">
        <v>566</v>
      </c>
      <c r="I246" s="2" t="s">
        <v>574</v>
      </c>
      <c r="K246" s="2" t="s">
        <v>44</v>
      </c>
      <c r="L246" s="2" t="s">
        <v>561</v>
      </c>
      <c r="N246" s="2" t="s">
        <v>380</v>
      </c>
      <c r="O246" s="2">
        <v>54.0</v>
      </c>
      <c r="P246" s="2" t="s">
        <v>65</v>
      </c>
      <c r="Q246" s="2" t="s">
        <v>569</v>
      </c>
      <c r="S246" s="2">
        <v>72.0</v>
      </c>
      <c r="T246" s="2" t="s">
        <v>243</v>
      </c>
      <c r="U246" s="2" t="s">
        <v>569</v>
      </c>
      <c r="AI246" s="2" t="str">
        <f t="shared" si="1"/>
        <v/>
      </c>
      <c r="AJ246" s="2" t="s">
        <v>49</v>
      </c>
      <c r="AK246" s="2" t="s">
        <v>50</v>
      </c>
    </row>
    <row r="247" ht="15.75" customHeight="1">
      <c r="A247" s="2" t="s">
        <v>39</v>
      </c>
      <c r="B247" s="3" t="str">
        <f>HYPERLINK("https://www.senado.gob.ar/parlamentario/comisiones/verExp/1470.25/S/CO","1470")</f>
        <v>1470</v>
      </c>
      <c r="C247" s="3" t="str">
        <f>HYPERLINK("https://www.senado.gob.ar/parlamentario/comisiones/verExp/1470.25/S/CO","2025")</f>
        <v>2025</v>
      </c>
      <c r="D247" s="2" t="s">
        <v>40</v>
      </c>
      <c r="E247" s="2" t="s">
        <v>575</v>
      </c>
      <c r="F247" s="2" t="s">
        <v>535</v>
      </c>
      <c r="I247" s="2" t="s">
        <v>576</v>
      </c>
      <c r="K247" s="2" t="s">
        <v>44</v>
      </c>
      <c r="L247" s="2" t="s">
        <v>561</v>
      </c>
      <c r="N247" s="2" t="s">
        <v>577</v>
      </c>
      <c r="O247" s="2">
        <v>75.0</v>
      </c>
      <c r="P247" s="2" t="s">
        <v>71</v>
      </c>
      <c r="Q247" s="2" t="s">
        <v>569</v>
      </c>
      <c r="AI247" s="2" t="str">
        <f t="shared" si="1"/>
        <v/>
      </c>
      <c r="AJ247" s="2" t="s">
        <v>49</v>
      </c>
      <c r="AK247" s="2" t="s">
        <v>50</v>
      </c>
    </row>
    <row r="248" ht="15.75" customHeight="1">
      <c r="A248" s="2" t="s">
        <v>39</v>
      </c>
      <c r="B248" s="3" t="str">
        <f>HYPERLINK("https://www.senado.gob.ar/parlamentario/comisiones/verExp/1462.25/S/PL","1462")</f>
        <v>1462</v>
      </c>
      <c r="C248" s="3" t="str">
        <f>HYPERLINK("https://www.senado.gob.ar/parlamentario/comisiones/verExp/1462.25/S/PL","2025")</f>
        <v>2025</v>
      </c>
      <c r="D248" s="2" t="s">
        <v>56</v>
      </c>
      <c r="E248" s="2" t="s">
        <v>578</v>
      </c>
      <c r="F248" s="2" t="s">
        <v>579</v>
      </c>
      <c r="I248" s="2" t="s">
        <v>576</v>
      </c>
      <c r="K248" s="2" t="s">
        <v>44</v>
      </c>
      <c r="L248" s="2" t="s">
        <v>561</v>
      </c>
      <c r="N248" s="2" t="s">
        <v>75</v>
      </c>
      <c r="O248" s="2">
        <v>67.0</v>
      </c>
      <c r="P248" s="2" t="s">
        <v>84</v>
      </c>
      <c r="Q248" s="2" t="s">
        <v>569</v>
      </c>
      <c r="AI248" s="2" t="str">
        <f t="shared" si="1"/>
        <v/>
      </c>
      <c r="AJ248" s="2" t="s">
        <v>49</v>
      </c>
      <c r="AK248" s="2" t="s">
        <v>50</v>
      </c>
    </row>
    <row r="249" ht="15.75" customHeight="1">
      <c r="A249" s="2" t="s">
        <v>39</v>
      </c>
      <c r="B249" s="3" t="str">
        <f>HYPERLINK("https://www.senado.gob.ar/parlamentario/comisiones/verExp/1451.25/S/PL","1451")</f>
        <v>1451</v>
      </c>
      <c r="C249" s="3" t="str">
        <f>HYPERLINK("https://www.senado.gob.ar/parlamentario/comisiones/verExp/1451.25/S/PL","2025")</f>
        <v>2025</v>
      </c>
      <c r="D249" s="2" t="s">
        <v>56</v>
      </c>
      <c r="E249" s="2" t="s">
        <v>580</v>
      </c>
      <c r="F249" s="2" t="s">
        <v>579</v>
      </c>
      <c r="I249" s="2" t="s">
        <v>581</v>
      </c>
      <c r="K249" s="2" t="s">
        <v>44</v>
      </c>
      <c r="L249" s="2" t="s">
        <v>561</v>
      </c>
      <c r="N249" s="2" t="s">
        <v>582</v>
      </c>
      <c r="O249" s="2">
        <v>53.0</v>
      </c>
      <c r="P249" s="2" t="s">
        <v>76</v>
      </c>
      <c r="Q249" s="2" t="s">
        <v>569</v>
      </c>
      <c r="S249" s="2">
        <v>54.0</v>
      </c>
      <c r="T249" s="2" t="s">
        <v>65</v>
      </c>
      <c r="U249" s="2" t="s">
        <v>569</v>
      </c>
      <c r="AI249" s="2" t="str">
        <f t="shared" si="1"/>
        <v/>
      </c>
      <c r="AJ249" s="2" t="s">
        <v>49</v>
      </c>
      <c r="AK249" s="2" t="s">
        <v>50</v>
      </c>
    </row>
    <row r="250" ht="15.75" customHeight="1">
      <c r="A250" s="2" t="s">
        <v>39</v>
      </c>
      <c r="B250" s="3" t="str">
        <f>HYPERLINK("https://www.senado.gob.ar/parlamentario/comisiones/verExp/1450.25/S/PL","1450")</f>
        <v>1450</v>
      </c>
      <c r="C250" s="3" t="str">
        <f>HYPERLINK("https://www.senado.gob.ar/parlamentario/comisiones/verExp/1450.25/S/PL","2025")</f>
        <v>2025</v>
      </c>
      <c r="D250" s="2" t="s">
        <v>56</v>
      </c>
      <c r="E250" s="2" t="s">
        <v>583</v>
      </c>
      <c r="F250" s="2" t="s">
        <v>579</v>
      </c>
      <c r="I250" s="2" t="s">
        <v>581</v>
      </c>
      <c r="K250" s="2" t="s">
        <v>44</v>
      </c>
      <c r="L250" s="2" t="s">
        <v>561</v>
      </c>
      <c r="N250" s="2" t="s">
        <v>358</v>
      </c>
      <c r="O250" s="2">
        <v>78.0</v>
      </c>
      <c r="P250" s="2" t="s">
        <v>73</v>
      </c>
      <c r="Q250" s="2" t="s">
        <v>569</v>
      </c>
      <c r="S250" s="2">
        <v>68.0</v>
      </c>
      <c r="T250" s="2" t="s">
        <v>180</v>
      </c>
      <c r="U250" s="2" t="s">
        <v>569</v>
      </c>
      <c r="AI250" s="2" t="str">
        <f t="shared" si="1"/>
        <v/>
      </c>
      <c r="AJ250" s="2" t="s">
        <v>49</v>
      </c>
      <c r="AK250" s="2" t="s">
        <v>50</v>
      </c>
    </row>
    <row r="251" ht="15.75" customHeight="1">
      <c r="A251" s="2" t="s">
        <v>39</v>
      </c>
      <c r="B251" s="3" t="str">
        <f>HYPERLINK("https://www.senado.gob.ar/parlamentario/comisiones/verExp/1446.25/S/PR","1446")</f>
        <v>1446</v>
      </c>
      <c r="C251" s="3" t="str">
        <f>HYPERLINK("https://www.senado.gob.ar/parlamentario/comisiones/verExp/1446.25/S/PR","2025")</f>
        <v>2025</v>
      </c>
      <c r="D251" s="2" t="s">
        <v>145</v>
      </c>
      <c r="E251" s="2" t="s">
        <v>584</v>
      </c>
      <c r="F251" s="2" t="s">
        <v>579</v>
      </c>
      <c r="I251" s="2" t="s">
        <v>581</v>
      </c>
      <c r="K251" s="2" t="s">
        <v>44</v>
      </c>
      <c r="L251" s="2" t="s">
        <v>561</v>
      </c>
      <c r="N251" s="2" t="s">
        <v>585</v>
      </c>
      <c r="O251" s="2">
        <v>50.0</v>
      </c>
      <c r="P251" s="2" t="s">
        <v>47</v>
      </c>
      <c r="Q251" s="2" t="s">
        <v>569</v>
      </c>
      <c r="S251" s="2">
        <v>70.0</v>
      </c>
      <c r="T251" s="2" t="s">
        <v>166</v>
      </c>
      <c r="U251" s="2" t="s">
        <v>569</v>
      </c>
      <c r="AI251" s="2" t="str">
        <f t="shared" si="1"/>
        <v/>
      </c>
      <c r="AJ251" s="2" t="s">
        <v>49</v>
      </c>
      <c r="AK251" s="2" t="s">
        <v>50</v>
      </c>
    </row>
    <row r="252" ht="15.75" customHeight="1">
      <c r="A252" s="2" t="s">
        <v>39</v>
      </c>
      <c r="B252" s="3" t="str">
        <f>HYPERLINK("https://www.senado.gob.ar/parlamentario/comisiones/verExp/1445.25/S/PL","1445")</f>
        <v>1445</v>
      </c>
      <c r="C252" s="3" t="str">
        <f>HYPERLINK("https://www.senado.gob.ar/parlamentario/comisiones/verExp/1445.25/S/PL","2025")</f>
        <v>2025</v>
      </c>
      <c r="D252" s="2" t="s">
        <v>56</v>
      </c>
      <c r="E252" s="2" t="s">
        <v>586</v>
      </c>
      <c r="F252" s="2" t="s">
        <v>587</v>
      </c>
      <c r="I252" s="2" t="s">
        <v>588</v>
      </c>
      <c r="K252" s="2" t="s">
        <v>44</v>
      </c>
      <c r="L252" s="2" t="s">
        <v>561</v>
      </c>
      <c r="N252" s="2" t="s">
        <v>316</v>
      </c>
      <c r="O252" s="2">
        <v>61.0</v>
      </c>
      <c r="P252" s="2" t="s">
        <v>104</v>
      </c>
      <c r="Q252" s="2" t="s">
        <v>569</v>
      </c>
      <c r="S252" s="2">
        <v>54.0</v>
      </c>
      <c r="T252" s="2" t="s">
        <v>65</v>
      </c>
      <c r="U252" s="2" t="s">
        <v>569</v>
      </c>
      <c r="AI252" s="2" t="str">
        <f t="shared" si="1"/>
        <v/>
      </c>
      <c r="AJ252" s="2" t="s">
        <v>49</v>
      </c>
      <c r="AK252" s="2" t="s">
        <v>50</v>
      </c>
    </row>
    <row r="253" ht="15.75" customHeight="1">
      <c r="A253" s="2" t="s">
        <v>39</v>
      </c>
      <c r="B253" s="3" t="str">
        <f>HYPERLINK("https://www.senado.gob.ar/parlamentario/comisiones/verExp/1438.25/S/PL","1438")</f>
        <v>1438</v>
      </c>
      <c r="C253" s="3" t="str">
        <f>HYPERLINK("https://www.senado.gob.ar/parlamentario/comisiones/verExp/1438.25/S/PL","2025")</f>
        <v>2025</v>
      </c>
      <c r="D253" s="2" t="s">
        <v>56</v>
      </c>
      <c r="E253" s="2" t="s">
        <v>589</v>
      </c>
      <c r="F253" s="2" t="s">
        <v>587</v>
      </c>
      <c r="I253" s="2" t="s">
        <v>590</v>
      </c>
      <c r="K253" s="2" t="s">
        <v>44</v>
      </c>
      <c r="L253" s="2" t="s">
        <v>561</v>
      </c>
      <c r="N253" s="2" t="s">
        <v>591</v>
      </c>
      <c r="O253" s="2">
        <v>50.0</v>
      </c>
      <c r="P253" s="2" t="s">
        <v>47</v>
      </c>
      <c r="Q253" s="2" t="s">
        <v>569</v>
      </c>
      <c r="S253" s="2">
        <v>54.0</v>
      </c>
      <c r="T253" s="2" t="s">
        <v>65</v>
      </c>
      <c r="U253" s="2" t="s">
        <v>569</v>
      </c>
      <c r="AI253" s="2" t="str">
        <f t="shared" si="1"/>
        <v/>
      </c>
      <c r="AJ253" s="2" t="s">
        <v>49</v>
      </c>
      <c r="AK253" s="2" t="s">
        <v>50</v>
      </c>
    </row>
    <row r="254" ht="15.75" customHeight="1">
      <c r="A254" s="2" t="s">
        <v>39</v>
      </c>
      <c r="B254" s="3" t="str">
        <f>HYPERLINK("https://www.senado.gob.ar/parlamentario/comisiones/verExp/1437.25/S/PL","1437")</f>
        <v>1437</v>
      </c>
      <c r="C254" s="3" t="str">
        <f>HYPERLINK("https://www.senado.gob.ar/parlamentario/comisiones/verExp/1437.25/S/PL","2025")</f>
        <v>2025</v>
      </c>
      <c r="D254" s="2" t="s">
        <v>56</v>
      </c>
      <c r="E254" s="2" t="s">
        <v>592</v>
      </c>
      <c r="F254" s="2" t="s">
        <v>587</v>
      </c>
      <c r="I254" s="2" t="s">
        <v>590</v>
      </c>
      <c r="K254" s="2" t="s">
        <v>593</v>
      </c>
      <c r="L254" s="2" t="s">
        <v>594</v>
      </c>
      <c r="N254" s="2" t="s">
        <v>595</v>
      </c>
      <c r="O254" s="2">
        <v>78.0</v>
      </c>
      <c r="P254" s="2" t="s">
        <v>73</v>
      </c>
      <c r="Q254" s="2" t="s">
        <v>497</v>
      </c>
      <c r="S254" s="2">
        <v>53.0</v>
      </c>
      <c r="T254" s="2" t="s">
        <v>76</v>
      </c>
      <c r="U254" s="2" t="s">
        <v>497</v>
      </c>
      <c r="W254" s="2">
        <v>52.0</v>
      </c>
      <c r="X254" s="2" t="s">
        <v>78</v>
      </c>
      <c r="Y254" s="2" t="s">
        <v>497</v>
      </c>
      <c r="AI254" s="2" t="str">
        <f t="shared" si="1"/>
        <v/>
      </c>
      <c r="AJ254" s="2" t="s">
        <v>49</v>
      </c>
      <c r="AK254" s="2" t="s">
        <v>50</v>
      </c>
    </row>
    <row r="255" ht="15.75" customHeight="1">
      <c r="A255" s="2" t="s">
        <v>39</v>
      </c>
      <c r="B255" s="3" t="str">
        <f>HYPERLINK("https://www.senado.gob.ar/parlamentario/comisiones/verExp/1434.25/S/PR","1434")</f>
        <v>1434</v>
      </c>
      <c r="C255" s="3" t="str">
        <f>HYPERLINK("https://www.senado.gob.ar/parlamentario/comisiones/verExp/1434.25/S/PR","2025")</f>
        <v>2025</v>
      </c>
      <c r="D255" s="2" t="s">
        <v>145</v>
      </c>
      <c r="E255" s="2" t="s">
        <v>596</v>
      </c>
      <c r="F255" s="2" t="s">
        <v>587</v>
      </c>
      <c r="I255" s="2" t="s">
        <v>590</v>
      </c>
      <c r="K255" s="2" t="s">
        <v>597</v>
      </c>
      <c r="L255" s="2" t="s">
        <v>598</v>
      </c>
      <c r="N255" s="2" t="s">
        <v>599</v>
      </c>
      <c r="O255" s="2">
        <v>50.0</v>
      </c>
      <c r="P255" s="2" t="s">
        <v>47</v>
      </c>
      <c r="Q255" s="2" t="s">
        <v>569</v>
      </c>
      <c r="R255" s="2" t="s">
        <v>450</v>
      </c>
      <c r="S255" s="2">
        <v>50.0</v>
      </c>
      <c r="T255" s="2" t="s">
        <v>47</v>
      </c>
      <c r="U255" s="2" t="s">
        <v>600</v>
      </c>
      <c r="W255" s="2">
        <v>78.0</v>
      </c>
      <c r="X255" s="2" t="s">
        <v>73</v>
      </c>
      <c r="Y255" s="2" t="s">
        <v>569</v>
      </c>
      <c r="Z255" s="2" t="s">
        <v>450</v>
      </c>
      <c r="AA255" s="2">
        <v>78.0</v>
      </c>
      <c r="AB255" s="2" t="s">
        <v>73</v>
      </c>
      <c r="AC255" s="2" t="s">
        <v>600</v>
      </c>
      <c r="AI255" s="3" t="str">
        <f>HYPERLINK("https://www.senado.gob.ar/parlamentario/parlamentaria/ordenDelDiaResultadoLink/2025/577"," 577 2025 RB -")</f>
        <v> 577 2025 RB -</v>
      </c>
      <c r="AJ255" s="2" t="s">
        <v>49</v>
      </c>
      <c r="AK255" s="2" t="s">
        <v>50</v>
      </c>
    </row>
    <row r="256" ht="15.75" customHeight="1">
      <c r="A256" s="2" t="s">
        <v>39</v>
      </c>
      <c r="B256" s="3" t="str">
        <f>HYPERLINK("https://www.senado.gob.ar/parlamentario/comisiones/verExp/1433.25/S/CO","1433")</f>
        <v>1433</v>
      </c>
      <c r="C256" s="3" t="str">
        <f>HYPERLINK("https://www.senado.gob.ar/parlamentario/comisiones/verExp/1433.25/S/CO","2025")</f>
        <v>2025</v>
      </c>
      <c r="D256" s="2" t="s">
        <v>40</v>
      </c>
      <c r="E256" s="2" t="s">
        <v>601</v>
      </c>
      <c r="F256" s="2" t="s">
        <v>602</v>
      </c>
      <c r="I256" s="2" t="s">
        <v>590</v>
      </c>
      <c r="K256" s="2" t="s">
        <v>44</v>
      </c>
      <c r="L256" s="2" t="s">
        <v>590</v>
      </c>
      <c r="N256" s="2" t="s">
        <v>603</v>
      </c>
      <c r="O256" s="2">
        <v>50.0</v>
      </c>
      <c r="P256" s="2" t="s">
        <v>47</v>
      </c>
      <c r="Q256" s="2" t="s">
        <v>604</v>
      </c>
      <c r="AI256" s="2" t="str">
        <f t="shared" ref="AI256:AI261" si="3">HYPERLINK("","")</f>
        <v/>
      </c>
      <c r="AJ256" s="2" t="s">
        <v>49</v>
      </c>
      <c r="AK256" s="2" t="s">
        <v>50</v>
      </c>
    </row>
    <row r="257" ht="15.75" customHeight="1">
      <c r="A257" s="2" t="s">
        <v>39</v>
      </c>
      <c r="B257" s="3" t="str">
        <f>HYPERLINK("https://www.senado.gob.ar/parlamentario/comisiones/verExp/1432.25/S/CO","1432")</f>
        <v>1432</v>
      </c>
      <c r="C257" s="3" t="str">
        <f>HYPERLINK("https://www.senado.gob.ar/parlamentario/comisiones/verExp/1432.25/S/CO","2025")</f>
        <v>2025</v>
      </c>
      <c r="D257" s="2" t="s">
        <v>40</v>
      </c>
      <c r="E257" s="2" t="s">
        <v>605</v>
      </c>
      <c r="F257" s="2" t="s">
        <v>602</v>
      </c>
      <c r="I257" s="2" t="s">
        <v>590</v>
      </c>
      <c r="K257" s="2" t="s">
        <v>44</v>
      </c>
      <c r="L257" s="2" t="s">
        <v>590</v>
      </c>
      <c r="N257" s="2" t="s">
        <v>409</v>
      </c>
      <c r="O257" s="2">
        <v>50.0</v>
      </c>
      <c r="P257" s="2" t="s">
        <v>47</v>
      </c>
      <c r="Q257" s="2" t="s">
        <v>604</v>
      </c>
      <c r="AI257" s="2" t="str">
        <f t="shared" si="3"/>
        <v/>
      </c>
      <c r="AJ257" s="2" t="s">
        <v>49</v>
      </c>
      <c r="AK257" s="2" t="s">
        <v>50</v>
      </c>
    </row>
    <row r="258" ht="15.75" customHeight="1">
      <c r="A258" s="2" t="s">
        <v>39</v>
      </c>
      <c r="B258" s="3" t="str">
        <f>HYPERLINK("https://www.senado.gob.ar/parlamentario/comisiones/verExp/1430.25/S/CO","1430")</f>
        <v>1430</v>
      </c>
      <c r="C258" s="3" t="str">
        <f>HYPERLINK("https://www.senado.gob.ar/parlamentario/comisiones/verExp/1430.25/S/CO","2025")</f>
        <v>2025</v>
      </c>
      <c r="D258" s="2" t="s">
        <v>40</v>
      </c>
      <c r="E258" s="2" t="s">
        <v>606</v>
      </c>
      <c r="F258" s="2" t="s">
        <v>602</v>
      </c>
      <c r="I258" s="2" t="s">
        <v>590</v>
      </c>
      <c r="K258" s="2" t="s">
        <v>44</v>
      </c>
      <c r="L258" s="2" t="s">
        <v>590</v>
      </c>
      <c r="N258" s="2" t="s">
        <v>427</v>
      </c>
      <c r="O258" s="2">
        <v>50.0</v>
      </c>
      <c r="P258" s="2" t="s">
        <v>47</v>
      </c>
      <c r="Q258" s="2" t="s">
        <v>604</v>
      </c>
      <c r="AI258" s="2" t="str">
        <f t="shared" si="3"/>
        <v/>
      </c>
      <c r="AJ258" s="2" t="s">
        <v>49</v>
      </c>
      <c r="AK258" s="2" t="s">
        <v>50</v>
      </c>
    </row>
    <row r="259" ht="15.75" customHeight="1">
      <c r="A259" s="2" t="s">
        <v>39</v>
      </c>
      <c r="B259" s="3" t="str">
        <f>HYPERLINK("https://www.senado.gob.ar/parlamentario/comisiones/verExp/1427.25/S/PL","1427")</f>
        <v>1427</v>
      </c>
      <c r="C259" s="3" t="str">
        <f>HYPERLINK("https://www.senado.gob.ar/parlamentario/comisiones/verExp/1427.25/S/PL","2025")</f>
        <v>2025</v>
      </c>
      <c r="D259" s="2" t="s">
        <v>56</v>
      </c>
      <c r="E259" s="2" t="s">
        <v>607</v>
      </c>
      <c r="F259" s="2" t="s">
        <v>587</v>
      </c>
      <c r="I259" s="2" t="s">
        <v>608</v>
      </c>
      <c r="K259" s="2" t="s">
        <v>44</v>
      </c>
      <c r="L259" s="2" t="s">
        <v>561</v>
      </c>
      <c r="N259" s="2" t="s">
        <v>140</v>
      </c>
      <c r="O259" s="2">
        <v>59.0</v>
      </c>
      <c r="P259" s="2" t="s">
        <v>220</v>
      </c>
      <c r="Q259" s="2" t="s">
        <v>569</v>
      </c>
      <c r="S259" s="2">
        <v>54.0</v>
      </c>
      <c r="T259" s="2" t="s">
        <v>65</v>
      </c>
      <c r="U259" s="2" t="s">
        <v>569</v>
      </c>
      <c r="AI259" s="2" t="str">
        <f t="shared" si="3"/>
        <v/>
      </c>
      <c r="AJ259" s="2" t="s">
        <v>49</v>
      </c>
      <c r="AK259" s="2" t="s">
        <v>50</v>
      </c>
    </row>
    <row r="260" ht="15.75" customHeight="1">
      <c r="A260" s="2" t="s">
        <v>39</v>
      </c>
      <c r="B260" s="3" t="str">
        <f>HYPERLINK("https://www.senado.gob.ar/parlamentario/comisiones/verExp/1424.25/S/PL","1424")</f>
        <v>1424</v>
      </c>
      <c r="C260" s="3" t="str">
        <f>HYPERLINK("https://www.senado.gob.ar/parlamentario/comisiones/verExp/1424.25/S/PL","2025")</f>
        <v>2025</v>
      </c>
      <c r="D260" s="2" t="s">
        <v>56</v>
      </c>
      <c r="E260" s="2" t="s">
        <v>609</v>
      </c>
      <c r="F260" s="2" t="s">
        <v>587</v>
      </c>
      <c r="I260" s="2" t="s">
        <v>608</v>
      </c>
      <c r="K260" s="2" t="s">
        <v>44</v>
      </c>
      <c r="L260" s="2" t="s">
        <v>561</v>
      </c>
      <c r="N260" s="2" t="s">
        <v>273</v>
      </c>
      <c r="O260" s="2">
        <v>67.0</v>
      </c>
      <c r="P260" s="2" t="s">
        <v>84</v>
      </c>
      <c r="Q260" s="2" t="s">
        <v>569</v>
      </c>
      <c r="S260" s="2">
        <v>54.0</v>
      </c>
      <c r="T260" s="2" t="s">
        <v>65</v>
      </c>
      <c r="U260" s="2" t="s">
        <v>569</v>
      </c>
      <c r="AI260" s="2" t="str">
        <f t="shared" si="3"/>
        <v/>
      </c>
      <c r="AJ260" s="2" t="s">
        <v>49</v>
      </c>
      <c r="AK260" s="2" t="s">
        <v>50</v>
      </c>
    </row>
    <row r="261" ht="15.75" customHeight="1">
      <c r="A261" s="2" t="s">
        <v>39</v>
      </c>
      <c r="B261" s="3" t="str">
        <f>HYPERLINK("https://www.senado.gob.ar/parlamentario/comisiones/verExp/1423.25/S/PL","1423")</f>
        <v>1423</v>
      </c>
      <c r="C261" s="3" t="str">
        <f>HYPERLINK("https://www.senado.gob.ar/parlamentario/comisiones/verExp/1423.25/S/PL","2025")</f>
        <v>2025</v>
      </c>
      <c r="D261" s="2" t="s">
        <v>56</v>
      </c>
      <c r="E261" s="2" t="s">
        <v>610</v>
      </c>
      <c r="F261" s="2" t="s">
        <v>587</v>
      </c>
      <c r="I261" s="2" t="s">
        <v>608</v>
      </c>
      <c r="K261" s="2" t="s">
        <v>44</v>
      </c>
      <c r="L261" s="2" t="s">
        <v>561</v>
      </c>
      <c r="N261" s="2" t="s">
        <v>273</v>
      </c>
      <c r="O261" s="2">
        <v>69.0</v>
      </c>
      <c r="P261" s="2" t="s">
        <v>135</v>
      </c>
      <c r="Q261" s="2" t="s">
        <v>569</v>
      </c>
      <c r="S261" s="2">
        <v>75.0</v>
      </c>
      <c r="T261" s="2" t="s">
        <v>71</v>
      </c>
      <c r="U261" s="2" t="s">
        <v>569</v>
      </c>
      <c r="AI261" s="2" t="str">
        <f t="shared" si="3"/>
        <v/>
      </c>
      <c r="AJ261" s="2" t="s">
        <v>49</v>
      </c>
      <c r="AK261" s="2" t="s">
        <v>50</v>
      </c>
    </row>
    <row r="262" ht="15.75" customHeight="1">
      <c r="A262" s="2" t="s">
        <v>39</v>
      </c>
      <c r="B262" s="3" t="str">
        <f>HYPERLINK("https://www.senado.gob.ar/parlamentario/comisiones/verExp/1419.25/S/PL","1419")</f>
        <v>1419</v>
      </c>
      <c r="C262" s="3" t="str">
        <f>HYPERLINK("https://www.senado.gob.ar/parlamentario/comisiones/verExp/1419.25/S/PL","2025")</f>
        <v>2025</v>
      </c>
      <c r="D262" s="2" t="s">
        <v>56</v>
      </c>
      <c r="E262" s="2" t="s">
        <v>611</v>
      </c>
      <c r="F262" s="2" t="s">
        <v>612</v>
      </c>
      <c r="I262" s="2" t="s">
        <v>608</v>
      </c>
      <c r="K262" s="2" t="s">
        <v>597</v>
      </c>
      <c r="L262" s="2" t="s">
        <v>613</v>
      </c>
      <c r="N262" s="2" t="s">
        <v>160</v>
      </c>
      <c r="O262" s="2">
        <v>57.0</v>
      </c>
      <c r="P262" s="2" t="s">
        <v>123</v>
      </c>
      <c r="Q262" s="2" t="s">
        <v>511</v>
      </c>
      <c r="R262" s="2" t="s">
        <v>450</v>
      </c>
      <c r="S262" s="2">
        <v>57.0</v>
      </c>
      <c r="T262" s="2" t="s">
        <v>123</v>
      </c>
      <c r="U262" s="2" t="s">
        <v>600</v>
      </c>
      <c r="AI262" s="3" t="str">
        <f>HYPERLINK("https://www.senado.gob.ar/parlamentario/parlamentaria/ordenDelDiaResultadoLink/2025/581"," 581 2025 RB -")</f>
        <v> 581 2025 RB -</v>
      </c>
      <c r="AJ262" s="2" t="s">
        <v>49</v>
      </c>
      <c r="AK262" s="2" t="s">
        <v>50</v>
      </c>
    </row>
    <row r="263" ht="15.75" customHeight="1">
      <c r="A263" s="2" t="s">
        <v>39</v>
      </c>
      <c r="B263" s="3" t="str">
        <f>HYPERLINK("https://www.senado.gob.ar/parlamentario/comisiones/verExp/1418.25/S/PL","1418")</f>
        <v>1418</v>
      </c>
      <c r="C263" s="3" t="str">
        <f>HYPERLINK("https://www.senado.gob.ar/parlamentario/comisiones/verExp/1418.25/S/PL","2025")</f>
        <v>2025</v>
      </c>
      <c r="D263" s="2" t="s">
        <v>56</v>
      </c>
      <c r="E263" s="2" t="s">
        <v>614</v>
      </c>
      <c r="F263" s="2" t="s">
        <v>612</v>
      </c>
      <c r="I263" s="2" t="s">
        <v>608</v>
      </c>
      <c r="K263" s="2" t="s">
        <v>44</v>
      </c>
      <c r="L263" s="2" t="s">
        <v>561</v>
      </c>
      <c r="N263" s="2" t="s">
        <v>160</v>
      </c>
      <c r="O263" s="2">
        <v>61.0</v>
      </c>
      <c r="P263" s="2" t="s">
        <v>104</v>
      </c>
      <c r="Q263" s="2" t="s">
        <v>569</v>
      </c>
      <c r="AI263" s="2" t="str">
        <f t="shared" ref="AI263:AI277" si="4">HYPERLINK("","")</f>
        <v/>
      </c>
      <c r="AJ263" s="2" t="s">
        <v>49</v>
      </c>
      <c r="AK263" s="2" t="s">
        <v>50</v>
      </c>
    </row>
    <row r="264" ht="15.75" customHeight="1">
      <c r="A264" s="2" t="s">
        <v>39</v>
      </c>
      <c r="B264" s="3" t="str">
        <f>HYPERLINK("https://www.senado.gob.ar/parlamentario/comisiones/verExp/1417.25/S/PL","1417")</f>
        <v>1417</v>
      </c>
      <c r="C264" s="3" t="str">
        <f>HYPERLINK("https://www.senado.gob.ar/parlamentario/comisiones/verExp/1417.25/S/PL","2025")</f>
        <v>2025</v>
      </c>
      <c r="D264" s="2" t="s">
        <v>56</v>
      </c>
      <c r="E264" s="2" t="s">
        <v>615</v>
      </c>
      <c r="F264" s="2" t="s">
        <v>612</v>
      </c>
      <c r="I264" s="2" t="s">
        <v>608</v>
      </c>
      <c r="K264" s="2" t="s">
        <v>44</v>
      </c>
      <c r="L264" s="2" t="s">
        <v>561</v>
      </c>
      <c r="N264" s="2" t="s">
        <v>160</v>
      </c>
      <c r="O264" s="2">
        <v>56.0</v>
      </c>
      <c r="P264" s="2" t="s">
        <v>262</v>
      </c>
      <c r="Q264" s="2" t="s">
        <v>569</v>
      </c>
      <c r="AI264" s="2" t="str">
        <f t="shared" si="4"/>
        <v/>
      </c>
      <c r="AJ264" s="2" t="s">
        <v>49</v>
      </c>
      <c r="AK264" s="2" t="s">
        <v>50</v>
      </c>
    </row>
    <row r="265" ht="15.75" customHeight="1">
      <c r="A265" s="2" t="s">
        <v>39</v>
      </c>
      <c r="B265" s="3" t="str">
        <f>HYPERLINK("https://www.senado.gob.ar/parlamentario/comisiones/verExp/1402.25/S/PL","1402")</f>
        <v>1402</v>
      </c>
      <c r="C265" s="3" t="str">
        <f>HYPERLINK("https://www.senado.gob.ar/parlamentario/comisiones/verExp/1402.25/S/PL","2025")</f>
        <v>2025</v>
      </c>
      <c r="D265" s="2" t="s">
        <v>56</v>
      </c>
      <c r="E265" s="2" t="s">
        <v>616</v>
      </c>
      <c r="F265" s="2" t="s">
        <v>612</v>
      </c>
      <c r="I265" s="2" t="s">
        <v>617</v>
      </c>
      <c r="K265" s="2" t="s">
        <v>44</v>
      </c>
      <c r="L265" s="2" t="s">
        <v>561</v>
      </c>
      <c r="N265" s="2" t="s">
        <v>69</v>
      </c>
      <c r="O265" s="2">
        <v>76.0</v>
      </c>
      <c r="P265" s="2" t="s">
        <v>233</v>
      </c>
      <c r="Q265" s="2" t="s">
        <v>569</v>
      </c>
      <c r="S265" s="2">
        <v>54.0</v>
      </c>
      <c r="T265" s="2" t="s">
        <v>65</v>
      </c>
      <c r="U265" s="2" t="s">
        <v>569</v>
      </c>
      <c r="AI265" s="2" t="str">
        <f t="shared" si="4"/>
        <v/>
      </c>
      <c r="AJ265" s="2" t="s">
        <v>49</v>
      </c>
      <c r="AK265" s="2" t="s">
        <v>50</v>
      </c>
    </row>
    <row r="266" ht="15.75" customHeight="1">
      <c r="A266" s="2" t="s">
        <v>39</v>
      </c>
      <c r="B266" s="3" t="str">
        <f>HYPERLINK("https://www.senado.gob.ar/parlamentario/comisiones/verExp/1386.25/S/PR","1386")</f>
        <v>1386</v>
      </c>
      <c r="C266" s="3" t="str">
        <f>HYPERLINK("https://www.senado.gob.ar/parlamentario/comisiones/verExp/1386.25/S/PR","2025")</f>
        <v>2025</v>
      </c>
      <c r="D266" s="2" t="s">
        <v>145</v>
      </c>
      <c r="E266" s="2" t="s">
        <v>618</v>
      </c>
      <c r="F266" s="2" t="s">
        <v>619</v>
      </c>
      <c r="I266" s="2" t="s">
        <v>620</v>
      </c>
      <c r="K266" s="2" t="s">
        <v>44</v>
      </c>
      <c r="L266" s="2" t="s">
        <v>561</v>
      </c>
      <c r="N266" s="2" t="s">
        <v>621</v>
      </c>
      <c r="O266" s="2">
        <v>55.0</v>
      </c>
      <c r="P266" s="2" t="s">
        <v>336</v>
      </c>
      <c r="Q266" s="2" t="s">
        <v>569</v>
      </c>
      <c r="S266" s="2">
        <v>54.0</v>
      </c>
      <c r="T266" s="2" t="s">
        <v>65</v>
      </c>
      <c r="U266" s="2" t="s">
        <v>569</v>
      </c>
      <c r="AI266" s="2" t="str">
        <f t="shared" si="4"/>
        <v/>
      </c>
      <c r="AJ266" s="2" t="s">
        <v>49</v>
      </c>
      <c r="AK266" s="2" t="s">
        <v>50</v>
      </c>
    </row>
    <row r="267" ht="15.75" customHeight="1">
      <c r="A267" s="2" t="s">
        <v>39</v>
      </c>
      <c r="B267" s="3" t="str">
        <f>HYPERLINK("https://www.senado.gob.ar/parlamentario/comisiones/verExp/1385.25/S/PL","1385")</f>
        <v>1385</v>
      </c>
      <c r="C267" s="3" t="str">
        <f>HYPERLINK("https://www.senado.gob.ar/parlamentario/comisiones/verExp/1385.25/S/PL","2025")</f>
        <v>2025</v>
      </c>
      <c r="D267" s="2" t="s">
        <v>56</v>
      </c>
      <c r="E267" s="2" t="s">
        <v>622</v>
      </c>
      <c r="F267" s="2" t="s">
        <v>623</v>
      </c>
      <c r="I267" s="2" t="s">
        <v>620</v>
      </c>
      <c r="K267" s="2" t="s">
        <v>44</v>
      </c>
      <c r="L267" s="2" t="s">
        <v>617</v>
      </c>
      <c r="N267" s="2" t="s">
        <v>168</v>
      </c>
      <c r="O267" s="2">
        <v>62.0</v>
      </c>
      <c r="P267" s="2" t="s">
        <v>205</v>
      </c>
      <c r="Q267" s="2" t="s">
        <v>624</v>
      </c>
      <c r="S267" s="2">
        <v>54.0</v>
      </c>
      <c r="T267" s="2" t="s">
        <v>65</v>
      </c>
      <c r="U267" s="2" t="s">
        <v>624</v>
      </c>
      <c r="AI267" s="2" t="str">
        <f t="shared" si="4"/>
        <v/>
      </c>
      <c r="AJ267" s="2" t="s">
        <v>49</v>
      </c>
      <c r="AK267" s="2" t="s">
        <v>50</v>
      </c>
    </row>
    <row r="268" ht="15.75" customHeight="1">
      <c r="A268" s="2" t="s">
        <v>39</v>
      </c>
      <c r="B268" s="3" t="str">
        <f>HYPERLINK("https://www.senado.gob.ar/parlamentario/comisiones/verExp/1378.25/S/PL","1378")</f>
        <v>1378</v>
      </c>
      <c r="C268" s="3" t="str">
        <f>HYPERLINK("https://www.senado.gob.ar/parlamentario/comisiones/verExp/1378.25/S/PL","2025")</f>
        <v>2025</v>
      </c>
      <c r="D268" s="2" t="s">
        <v>56</v>
      </c>
      <c r="E268" s="2" t="s">
        <v>625</v>
      </c>
      <c r="F268" s="2" t="s">
        <v>626</v>
      </c>
      <c r="I268" s="2" t="s">
        <v>627</v>
      </c>
      <c r="K268" s="2" t="s">
        <v>44</v>
      </c>
      <c r="L268" s="2" t="s">
        <v>617</v>
      </c>
      <c r="N268" s="2" t="s">
        <v>628</v>
      </c>
      <c r="O268" s="2">
        <v>75.0</v>
      </c>
      <c r="P268" s="2" t="s">
        <v>71</v>
      </c>
      <c r="Q268" s="2" t="s">
        <v>624</v>
      </c>
      <c r="S268" s="2">
        <v>74.0</v>
      </c>
      <c r="T268" s="2" t="s">
        <v>256</v>
      </c>
      <c r="U268" s="2" t="s">
        <v>624</v>
      </c>
      <c r="W268" s="2">
        <v>54.0</v>
      </c>
      <c r="X268" s="2" t="s">
        <v>65</v>
      </c>
      <c r="Y268" s="2" t="s">
        <v>624</v>
      </c>
      <c r="AI268" s="2" t="str">
        <f t="shared" si="4"/>
        <v/>
      </c>
      <c r="AJ268" s="2" t="s">
        <v>49</v>
      </c>
      <c r="AK268" s="2" t="s">
        <v>50</v>
      </c>
    </row>
    <row r="269" ht="15.75" customHeight="1">
      <c r="A269" s="2" t="s">
        <v>39</v>
      </c>
      <c r="B269" s="3" t="str">
        <f>HYPERLINK("https://www.senado.gob.ar/parlamentario/comisiones/verExp/1375.25/S/PR","1375")</f>
        <v>1375</v>
      </c>
      <c r="C269" s="3" t="str">
        <f>HYPERLINK("https://www.senado.gob.ar/parlamentario/comisiones/verExp/1375.25/S/PR","2025")</f>
        <v>2025</v>
      </c>
      <c r="D269" s="2" t="s">
        <v>145</v>
      </c>
      <c r="E269" s="2" t="s">
        <v>629</v>
      </c>
      <c r="F269" s="2" t="s">
        <v>626</v>
      </c>
      <c r="I269" s="2" t="s">
        <v>630</v>
      </c>
      <c r="K269" s="2" t="s">
        <v>44</v>
      </c>
      <c r="L269" s="2" t="s">
        <v>617</v>
      </c>
      <c r="N269" s="2" t="s">
        <v>631</v>
      </c>
      <c r="O269" s="2">
        <v>55.0</v>
      </c>
      <c r="P269" s="2" t="s">
        <v>336</v>
      </c>
      <c r="Q269" s="2" t="s">
        <v>624</v>
      </c>
      <c r="S269" s="2">
        <v>54.0</v>
      </c>
      <c r="T269" s="2" t="s">
        <v>65</v>
      </c>
      <c r="U269" s="2" t="s">
        <v>624</v>
      </c>
      <c r="AI269" s="2" t="str">
        <f t="shared" si="4"/>
        <v/>
      </c>
      <c r="AJ269" s="2" t="s">
        <v>49</v>
      </c>
      <c r="AK269" s="2" t="s">
        <v>50</v>
      </c>
    </row>
    <row r="270" ht="15.75" customHeight="1">
      <c r="A270" s="2" t="s">
        <v>39</v>
      </c>
      <c r="B270" s="3" t="str">
        <f>HYPERLINK("https://www.senado.gob.ar/parlamentario/comisiones/verExp/1374.25/S/PL","1374")</f>
        <v>1374</v>
      </c>
      <c r="C270" s="3" t="str">
        <f>HYPERLINK("https://www.senado.gob.ar/parlamentario/comisiones/verExp/1374.25/S/PL","2025")</f>
        <v>2025</v>
      </c>
      <c r="D270" s="2" t="s">
        <v>56</v>
      </c>
      <c r="E270" s="2" t="s">
        <v>632</v>
      </c>
      <c r="F270" s="2" t="s">
        <v>626</v>
      </c>
      <c r="I270" s="2" t="s">
        <v>630</v>
      </c>
      <c r="K270" s="2" t="s">
        <v>44</v>
      </c>
      <c r="L270" s="2" t="s">
        <v>617</v>
      </c>
      <c r="N270" s="2" t="s">
        <v>386</v>
      </c>
      <c r="O270" s="2">
        <v>61.0</v>
      </c>
      <c r="P270" s="2" t="s">
        <v>104</v>
      </c>
      <c r="Q270" s="2" t="s">
        <v>624</v>
      </c>
      <c r="S270" s="2">
        <v>78.0</v>
      </c>
      <c r="T270" s="2" t="s">
        <v>73</v>
      </c>
      <c r="U270" s="2" t="s">
        <v>624</v>
      </c>
      <c r="W270" s="2">
        <v>54.0</v>
      </c>
      <c r="X270" s="2" t="s">
        <v>65</v>
      </c>
      <c r="Y270" s="2" t="s">
        <v>624</v>
      </c>
      <c r="AI270" s="2" t="str">
        <f t="shared" si="4"/>
        <v/>
      </c>
      <c r="AJ270" s="2" t="s">
        <v>49</v>
      </c>
      <c r="AK270" s="2" t="s">
        <v>50</v>
      </c>
    </row>
    <row r="271" ht="15.75" customHeight="1">
      <c r="A271" s="2" t="s">
        <v>39</v>
      </c>
      <c r="B271" s="3" t="str">
        <f>HYPERLINK("https://www.senado.gob.ar/parlamentario/comisiones/verExp/1354.25/S/PL","1354")</f>
        <v>1354</v>
      </c>
      <c r="C271" s="3" t="str">
        <f>HYPERLINK("https://www.senado.gob.ar/parlamentario/comisiones/verExp/1354.25/S/PL","2025")</f>
        <v>2025</v>
      </c>
      <c r="D271" s="2" t="s">
        <v>56</v>
      </c>
      <c r="E271" s="2" t="s">
        <v>633</v>
      </c>
      <c r="F271" s="2" t="s">
        <v>634</v>
      </c>
      <c r="I271" s="2" t="s">
        <v>635</v>
      </c>
      <c r="K271" s="2" t="s">
        <v>44</v>
      </c>
      <c r="L271" s="2" t="s">
        <v>617</v>
      </c>
      <c r="N271" s="2" t="s">
        <v>636</v>
      </c>
      <c r="O271" s="2">
        <v>75.0</v>
      </c>
      <c r="P271" s="2" t="s">
        <v>71</v>
      </c>
      <c r="Q271" s="2" t="s">
        <v>624</v>
      </c>
      <c r="AI271" s="2" t="str">
        <f t="shared" si="4"/>
        <v/>
      </c>
      <c r="AJ271" s="2" t="s">
        <v>49</v>
      </c>
      <c r="AK271" s="2" t="s">
        <v>50</v>
      </c>
    </row>
    <row r="272" ht="15.75" customHeight="1">
      <c r="A272" s="2" t="s">
        <v>39</v>
      </c>
      <c r="B272" s="3" t="str">
        <f>HYPERLINK("https://www.senado.gob.ar/parlamentario/comisiones/verExp/1353.25/S/PL","1353")</f>
        <v>1353</v>
      </c>
      <c r="C272" s="3" t="str">
        <f>HYPERLINK("https://www.senado.gob.ar/parlamentario/comisiones/verExp/1353.25/S/PL","2025")</f>
        <v>2025</v>
      </c>
      <c r="D272" s="2" t="s">
        <v>56</v>
      </c>
      <c r="E272" s="2" t="s">
        <v>637</v>
      </c>
      <c r="F272" s="2" t="s">
        <v>634</v>
      </c>
      <c r="I272" s="2" t="s">
        <v>635</v>
      </c>
      <c r="K272" s="2" t="s">
        <v>44</v>
      </c>
      <c r="L272" s="2" t="s">
        <v>617</v>
      </c>
      <c r="N272" s="2" t="s">
        <v>638</v>
      </c>
      <c r="O272" s="2">
        <v>69.0</v>
      </c>
      <c r="P272" s="2" t="s">
        <v>135</v>
      </c>
      <c r="Q272" s="2" t="s">
        <v>624</v>
      </c>
      <c r="AI272" s="2" t="str">
        <f t="shared" si="4"/>
        <v/>
      </c>
      <c r="AJ272" s="2" t="s">
        <v>49</v>
      </c>
      <c r="AK272" s="2" t="s">
        <v>50</v>
      </c>
    </row>
    <row r="273" ht="15.75" customHeight="1">
      <c r="A273" s="2" t="s">
        <v>39</v>
      </c>
      <c r="B273" s="3" t="str">
        <f>HYPERLINK("https://www.senado.gob.ar/parlamentario/comisiones/verExp/1352.25/S/PL","1352")</f>
        <v>1352</v>
      </c>
      <c r="C273" s="3" t="str">
        <f>HYPERLINK("https://www.senado.gob.ar/parlamentario/comisiones/verExp/1352.25/S/PL","2025")</f>
        <v>2025</v>
      </c>
      <c r="D273" s="2" t="s">
        <v>56</v>
      </c>
      <c r="E273" s="2" t="s">
        <v>639</v>
      </c>
      <c r="F273" s="2" t="s">
        <v>634</v>
      </c>
      <c r="I273" s="2" t="s">
        <v>635</v>
      </c>
      <c r="K273" s="2" t="s">
        <v>44</v>
      </c>
      <c r="L273" s="2" t="s">
        <v>617</v>
      </c>
      <c r="N273" s="2" t="s">
        <v>640</v>
      </c>
      <c r="O273" s="2">
        <v>65.0</v>
      </c>
      <c r="P273" s="2" t="s">
        <v>153</v>
      </c>
      <c r="Q273" s="2" t="s">
        <v>624</v>
      </c>
      <c r="AI273" s="2" t="str">
        <f t="shared" si="4"/>
        <v/>
      </c>
      <c r="AJ273" s="2" t="s">
        <v>49</v>
      </c>
      <c r="AK273" s="2" t="s">
        <v>50</v>
      </c>
    </row>
    <row r="274" ht="15.75" customHeight="1">
      <c r="A274" s="2" t="s">
        <v>39</v>
      </c>
      <c r="B274" s="3" t="str">
        <f>HYPERLINK("https://www.senado.gob.ar/parlamentario/comisiones/verExp/1351.25/S/PL","1351")</f>
        <v>1351</v>
      </c>
      <c r="C274" s="3" t="str">
        <f>HYPERLINK("https://www.senado.gob.ar/parlamentario/comisiones/verExp/1351.25/S/PL","2025")</f>
        <v>2025</v>
      </c>
      <c r="D274" s="2" t="s">
        <v>56</v>
      </c>
      <c r="E274" s="2" t="s">
        <v>641</v>
      </c>
      <c r="F274" s="2" t="s">
        <v>634</v>
      </c>
      <c r="I274" s="2" t="s">
        <v>635</v>
      </c>
      <c r="K274" s="2" t="s">
        <v>44</v>
      </c>
      <c r="L274" s="2" t="s">
        <v>617</v>
      </c>
      <c r="N274" s="2" t="s">
        <v>636</v>
      </c>
      <c r="O274" s="2">
        <v>73.0</v>
      </c>
      <c r="P274" s="2" t="s">
        <v>237</v>
      </c>
      <c r="Q274" s="2" t="s">
        <v>624</v>
      </c>
      <c r="AI274" s="2" t="str">
        <f t="shared" si="4"/>
        <v/>
      </c>
      <c r="AJ274" s="2" t="s">
        <v>49</v>
      </c>
      <c r="AK274" s="2" t="s">
        <v>50</v>
      </c>
    </row>
    <row r="275" ht="15.75" customHeight="1">
      <c r="A275" s="2" t="s">
        <v>39</v>
      </c>
      <c r="B275" s="3" t="str">
        <f>HYPERLINK("https://www.senado.gob.ar/parlamentario/comisiones/verExp/1344.25/S/PL","1344")</f>
        <v>1344</v>
      </c>
      <c r="C275" s="3" t="str">
        <f>HYPERLINK("https://www.senado.gob.ar/parlamentario/comisiones/verExp/1344.25/S/PL","2025")</f>
        <v>2025</v>
      </c>
      <c r="D275" s="2" t="s">
        <v>56</v>
      </c>
      <c r="E275" s="2" t="s">
        <v>642</v>
      </c>
      <c r="F275" s="2" t="s">
        <v>634</v>
      </c>
      <c r="I275" s="2" t="s">
        <v>635</v>
      </c>
      <c r="K275" s="2" t="s">
        <v>44</v>
      </c>
      <c r="L275" s="2" t="s">
        <v>617</v>
      </c>
      <c r="N275" s="2" t="s">
        <v>377</v>
      </c>
      <c r="O275" s="2">
        <v>78.0</v>
      </c>
      <c r="P275" s="2" t="s">
        <v>73</v>
      </c>
      <c r="Q275" s="2" t="s">
        <v>624</v>
      </c>
      <c r="S275" s="2">
        <v>68.0</v>
      </c>
      <c r="T275" s="2" t="s">
        <v>180</v>
      </c>
      <c r="U275" s="2" t="s">
        <v>624</v>
      </c>
      <c r="W275" s="2">
        <v>54.0</v>
      </c>
      <c r="X275" s="2" t="s">
        <v>65</v>
      </c>
      <c r="Y275" s="2" t="s">
        <v>624</v>
      </c>
      <c r="AI275" s="2" t="str">
        <f t="shared" si="4"/>
        <v/>
      </c>
      <c r="AJ275" s="2" t="s">
        <v>49</v>
      </c>
      <c r="AK275" s="2" t="s">
        <v>50</v>
      </c>
    </row>
    <row r="276" ht="15.75" customHeight="1">
      <c r="A276" s="2" t="s">
        <v>39</v>
      </c>
      <c r="B276" s="3" t="str">
        <f>HYPERLINK("https://www.senado.gob.ar/parlamentario/comisiones/verExp/1337.25/S/PL","1337")</f>
        <v>1337</v>
      </c>
      <c r="C276" s="3" t="str">
        <f>HYPERLINK("https://www.senado.gob.ar/parlamentario/comisiones/verExp/1337.25/S/PL","2025")</f>
        <v>2025</v>
      </c>
      <c r="D276" s="2" t="s">
        <v>56</v>
      </c>
      <c r="E276" s="2" t="s">
        <v>643</v>
      </c>
      <c r="F276" s="2" t="s">
        <v>644</v>
      </c>
      <c r="I276" s="2" t="s">
        <v>645</v>
      </c>
      <c r="K276" s="2" t="s">
        <v>44</v>
      </c>
      <c r="L276" s="2" t="s">
        <v>617</v>
      </c>
      <c r="N276" s="2" t="s">
        <v>646</v>
      </c>
      <c r="O276" s="2">
        <v>50.0</v>
      </c>
      <c r="P276" s="2" t="s">
        <v>47</v>
      </c>
      <c r="Q276" s="2" t="s">
        <v>624</v>
      </c>
      <c r="S276" s="2">
        <v>74.0</v>
      </c>
      <c r="T276" s="2" t="s">
        <v>256</v>
      </c>
      <c r="U276" s="2" t="s">
        <v>624</v>
      </c>
      <c r="AI276" s="2" t="str">
        <f t="shared" si="4"/>
        <v/>
      </c>
      <c r="AJ276" s="2" t="s">
        <v>49</v>
      </c>
      <c r="AK276" s="2" t="s">
        <v>50</v>
      </c>
    </row>
    <row r="277" ht="15.75" customHeight="1">
      <c r="A277" s="2" t="s">
        <v>39</v>
      </c>
      <c r="B277" s="3" t="str">
        <f>HYPERLINK("https://www.senado.gob.ar/parlamentario/comisiones/verExp/1320.25/S/PL","1320")</f>
        <v>1320</v>
      </c>
      <c r="C277" s="3" t="str">
        <f>HYPERLINK("https://www.senado.gob.ar/parlamentario/comisiones/verExp/1320.25/S/PL","2025")</f>
        <v>2025</v>
      </c>
      <c r="D277" s="2" t="s">
        <v>56</v>
      </c>
      <c r="E277" s="2" t="s">
        <v>647</v>
      </c>
      <c r="F277" s="2" t="s">
        <v>648</v>
      </c>
      <c r="I277" s="2" t="s">
        <v>649</v>
      </c>
      <c r="K277" s="2" t="s">
        <v>44</v>
      </c>
      <c r="L277" s="2" t="s">
        <v>645</v>
      </c>
      <c r="N277" s="2" t="s">
        <v>75</v>
      </c>
      <c r="O277" s="2">
        <v>50.0</v>
      </c>
      <c r="P277" s="2" t="s">
        <v>47</v>
      </c>
      <c r="Q277" s="2" t="s">
        <v>650</v>
      </c>
      <c r="AI277" s="2" t="str">
        <f t="shared" si="4"/>
        <v/>
      </c>
      <c r="AJ277" s="2" t="s">
        <v>49</v>
      </c>
      <c r="AK277" s="2" t="s">
        <v>50</v>
      </c>
    </row>
    <row r="278" ht="15.75" customHeight="1">
      <c r="A278" s="2" t="s">
        <v>39</v>
      </c>
      <c r="B278" s="3" t="str">
        <f>HYPERLINK("https://www.senado.gob.ar/parlamentario/comisiones/verExp/1318.25/S/PL","1318")</f>
        <v>1318</v>
      </c>
      <c r="C278" s="3" t="str">
        <f>HYPERLINK("https://www.senado.gob.ar/parlamentario/comisiones/verExp/1318.25/S/PL","2025")</f>
        <v>2025</v>
      </c>
      <c r="D278" s="2" t="s">
        <v>56</v>
      </c>
      <c r="E278" s="2" t="s">
        <v>651</v>
      </c>
      <c r="F278" s="2" t="s">
        <v>652</v>
      </c>
      <c r="I278" s="2" t="s">
        <v>653</v>
      </c>
      <c r="K278" s="2" t="s">
        <v>654</v>
      </c>
      <c r="L278" s="2" t="s">
        <v>655</v>
      </c>
      <c r="N278" s="2" t="s">
        <v>656</v>
      </c>
      <c r="O278" s="2">
        <v>50.0</v>
      </c>
      <c r="P278" s="2" t="s">
        <v>47</v>
      </c>
      <c r="Q278" s="2" t="s">
        <v>650</v>
      </c>
      <c r="R278" s="2" t="s">
        <v>604</v>
      </c>
      <c r="S278" s="2">
        <v>50.0</v>
      </c>
      <c r="T278" s="2" t="s">
        <v>47</v>
      </c>
      <c r="U278" s="2" t="s">
        <v>657</v>
      </c>
      <c r="V278" s="2" t="s">
        <v>658</v>
      </c>
      <c r="W278" s="2">
        <v>50.0</v>
      </c>
      <c r="X278" s="2" t="s">
        <v>47</v>
      </c>
      <c r="Y278" s="2" t="s">
        <v>659</v>
      </c>
      <c r="AI278" s="3" t="str">
        <f>HYPERLINK("https://www.senado.gob.ar/parlamentario/parlamentaria/ordenDelDiaResultadoLink/2025/428"," 428 2025 AP - 670 2025 RB -")</f>
        <v> 428 2025 AP - 670 2025 RB -</v>
      </c>
      <c r="AJ278" s="2" t="s">
        <v>660</v>
      </c>
      <c r="AK278" s="2" t="s">
        <v>50</v>
      </c>
    </row>
    <row r="279" ht="15.75" customHeight="1">
      <c r="A279" s="2" t="s">
        <v>39</v>
      </c>
      <c r="B279" s="3" t="str">
        <f>HYPERLINK("https://www.senado.gob.ar/parlamentario/comisiones/verExp/1317.25/S/PL","1317")</f>
        <v>1317</v>
      </c>
      <c r="C279" s="3" t="str">
        <f>HYPERLINK("https://www.senado.gob.ar/parlamentario/comisiones/verExp/1317.25/S/PL","2025")</f>
        <v>2025</v>
      </c>
      <c r="D279" s="2" t="s">
        <v>56</v>
      </c>
      <c r="E279" s="2" t="s">
        <v>661</v>
      </c>
      <c r="F279" s="2" t="s">
        <v>648</v>
      </c>
      <c r="I279" s="2" t="s">
        <v>649</v>
      </c>
      <c r="K279" s="2" t="s">
        <v>44</v>
      </c>
      <c r="L279" s="2" t="s">
        <v>645</v>
      </c>
      <c r="N279" s="2" t="s">
        <v>662</v>
      </c>
      <c r="O279" s="2">
        <v>55.0</v>
      </c>
      <c r="P279" s="2" t="s">
        <v>336</v>
      </c>
      <c r="Q279" s="2" t="s">
        <v>650</v>
      </c>
      <c r="AI279" s="2" t="str">
        <f t="shared" ref="AI279:AI360" si="5">HYPERLINK("","")</f>
        <v/>
      </c>
      <c r="AJ279" s="2" t="s">
        <v>49</v>
      </c>
      <c r="AK279" s="2" t="s">
        <v>50</v>
      </c>
    </row>
    <row r="280" ht="15.75" customHeight="1">
      <c r="A280" s="2" t="s">
        <v>39</v>
      </c>
      <c r="B280" s="3" t="str">
        <f>HYPERLINK("https://www.senado.gob.ar/parlamentario/comisiones/verExp/1303.25/S/PR","1303")</f>
        <v>1303</v>
      </c>
      <c r="C280" s="3" t="str">
        <f>HYPERLINK("https://www.senado.gob.ar/parlamentario/comisiones/verExp/1303.25/S/PR","2025")</f>
        <v>2025</v>
      </c>
      <c r="D280" s="2" t="s">
        <v>145</v>
      </c>
      <c r="E280" s="2" t="s">
        <v>663</v>
      </c>
      <c r="F280" s="2" t="s">
        <v>664</v>
      </c>
      <c r="I280" s="2" t="s">
        <v>665</v>
      </c>
      <c r="K280" s="2" t="s">
        <v>44</v>
      </c>
      <c r="L280" s="2" t="s">
        <v>645</v>
      </c>
      <c r="N280" s="2" t="s">
        <v>666</v>
      </c>
      <c r="O280" s="2">
        <v>67.0</v>
      </c>
      <c r="P280" s="2" t="s">
        <v>84</v>
      </c>
      <c r="Q280" s="2" t="s">
        <v>650</v>
      </c>
      <c r="AI280" s="2" t="str">
        <f t="shared" si="5"/>
        <v/>
      </c>
      <c r="AJ280" s="2" t="s">
        <v>49</v>
      </c>
      <c r="AK280" s="2" t="s">
        <v>50</v>
      </c>
    </row>
    <row r="281" ht="15.75" customHeight="1">
      <c r="A281" s="2" t="s">
        <v>39</v>
      </c>
      <c r="B281" s="3" t="str">
        <f>HYPERLINK("https://www.senado.gob.ar/parlamentario/comisiones/verExp/1300.25/S/PL","1300")</f>
        <v>1300</v>
      </c>
      <c r="C281" s="3" t="str">
        <f>HYPERLINK("https://www.senado.gob.ar/parlamentario/comisiones/verExp/1300.25/S/PL","2025")</f>
        <v>2025</v>
      </c>
      <c r="D281" s="2" t="s">
        <v>56</v>
      </c>
      <c r="E281" s="2" t="s">
        <v>667</v>
      </c>
      <c r="F281" s="2" t="s">
        <v>664</v>
      </c>
      <c r="I281" s="2" t="s">
        <v>668</v>
      </c>
      <c r="K281" s="2" t="s">
        <v>44</v>
      </c>
      <c r="L281" s="2" t="s">
        <v>645</v>
      </c>
      <c r="N281" s="2" t="s">
        <v>669</v>
      </c>
      <c r="O281" s="2">
        <v>65.0</v>
      </c>
      <c r="P281" s="2" t="s">
        <v>153</v>
      </c>
      <c r="Q281" s="2" t="s">
        <v>650</v>
      </c>
      <c r="S281" s="2">
        <v>52.0</v>
      </c>
      <c r="T281" s="2" t="s">
        <v>78</v>
      </c>
      <c r="U281" s="2" t="s">
        <v>650</v>
      </c>
      <c r="W281" s="2">
        <v>54.0</v>
      </c>
      <c r="X281" s="2" t="s">
        <v>65</v>
      </c>
      <c r="Y281" s="2" t="s">
        <v>650</v>
      </c>
      <c r="AI281" s="2" t="str">
        <f t="shared" si="5"/>
        <v/>
      </c>
      <c r="AJ281" s="2" t="s">
        <v>49</v>
      </c>
      <c r="AK281" s="2" t="s">
        <v>50</v>
      </c>
    </row>
    <row r="282" ht="15.75" customHeight="1">
      <c r="A282" s="2" t="s">
        <v>39</v>
      </c>
      <c r="B282" s="3" t="str">
        <f>HYPERLINK("https://www.senado.gob.ar/parlamentario/comisiones/verExp/1299.25/S/PL","1299")</f>
        <v>1299</v>
      </c>
      <c r="C282" s="3" t="str">
        <f>HYPERLINK("https://www.senado.gob.ar/parlamentario/comisiones/verExp/1299.25/S/PL","2025")</f>
        <v>2025</v>
      </c>
      <c r="D282" s="2" t="s">
        <v>56</v>
      </c>
      <c r="E282" s="2" t="s">
        <v>670</v>
      </c>
      <c r="F282" s="2" t="s">
        <v>664</v>
      </c>
      <c r="I282" s="2" t="s">
        <v>668</v>
      </c>
      <c r="K282" s="2" t="s">
        <v>44</v>
      </c>
      <c r="L282" s="2" t="s">
        <v>671</v>
      </c>
      <c r="N282" s="2" t="s">
        <v>672</v>
      </c>
      <c r="O282" s="2">
        <v>50.0</v>
      </c>
      <c r="P282" s="2" t="s">
        <v>47</v>
      </c>
      <c r="Q282" s="2" t="s">
        <v>673</v>
      </c>
      <c r="AI282" s="2" t="str">
        <f t="shared" si="5"/>
        <v/>
      </c>
      <c r="AJ282" s="2" t="s">
        <v>49</v>
      </c>
      <c r="AK282" s="2" t="s">
        <v>50</v>
      </c>
    </row>
    <row r="283" ht="15.75" customHeight="1">
      <c r="A283" s="2" t="s">
        <v>39</v>
      </c>
      <c r="B283" s="3" t="str">
        <f>HYPERLINK("https://www.senado.gob.ar/parlamentario/comisiones/verExp/1298.25/S/PL","1298")</f>
        <v>1298</v>
      </c>
      <c r="C283" s="3" t="str">
        <f>HYPERLINK("https://www.senado.gob.ar/parlamentario/comisiones/verExp/1298.25/S/PL","2025")</f>
        <v>2025</v>
      </c>
      <c r="D283" s="2" t="s">
        <v>56</v>
      </c>
      <c r="E283" s="2" t="s">
        <v>674</v>
      </c>
      <c r="F283" s="2" t="s">
        <v>664</v>
      </c>
      <c r="I283" s="2" t="s">
        <v>668</v>
      </c>
      <c r="K283" s="2" t="s">
        <v>44</v>
      </c>
      <c r="L283" s="2" t="s">
        <v>645</v>
      </c>
      <c r="N283" s="2" t="s">
        <v>142</v>
      </c>
      <c r="O283" s="2">
        <v>67.0</v>
      </c>
      <c r="P283" s="2" t="s">
        <v>84</v>
      </c>
      <c r="Q283" s="2" t="s">
        <v>650</v>
      </c>
      <c r="S283" s="2">
        <v>54.0</v>
      </c>
      <c r="T283" s="2" t="s">
        <v>65</v>
      </c>
      <c r="U283" s="2" t="s">
        <v>650</v>
      </c>
      <c r="AI283" s="2" t="str">
        <f t="shared" si="5"/>
        <v/>
      </c>
      <c r="AJ283" s="2" t="s">
        <v>49</v>
      </c>
      <c r="AK283" s="2" t="s">
        <v>50</v>
      </c>
    </row>
    <row r="284" ht="15.75" customHeight="1">
      <c r="A284" s="2" t="s">
        <v>39</v>
      </c>
      <c r="B284" s="3" t="str">
        <f>HYPERLINK("https://www.senado.gob.ar/parlamentario/comisiones/verExp/1295.25/S/PL","1295")</f>
        <v>1295</v>
      </c>
      <c r="C284" s="3" t="str">
        <f>HYPERLINK("https://www.senado.gob.ar/parlamentario/comisiones/verExp/1295.25/S/PL","2025")</f>
        <v>2025</v>
      </c>
      <c r="D284" s="2" t="s">
        <v>56</v>
      </c>
      <c r="E284" s="2" t="s">
        <v>675</v>
      </c>
      <c r="F284" s="2" t="s">
        <v>664</v>
      </c>
      <c r="I284" s="2" t="s">
        <v>676</v>
      </c>
      <c r="K284" s="2" t="s">
        <v>44</v>
      </c>
      <c r="L284" s="2" t="s">
        <v>645</v>
      </c>
      <c r="N284" s="2" t="s">
        <v>568</v>
      </c>
      <c r="O284" s="2">
        <v>75.0</v>
      </c>
      <c r="P284" s="2" t="s">
        <v>71</v>
      </c>
      <c r="Q284" s="2" t="s">
        <v>650</v>
      </c>
      <c r="AI284" s="2" t="str">
        <f t="shared" si="5"/>
        <v/>
      </c>
      <c r="AJ284" s="2" t="s">
        <v>49</v>
      </c>
      <c r="AK284" s="2" t="s">
        <v>50</v>
      </c>
    </row>
    <row r="285" ht="15.75" customHeight="1">
      <c r="A285" s="2" t="s">
        <v>39</v>
      </c>
      <c r="B285" s="3" t="str">
        <f>HYPERLINK("https://www.senado.gob.ar/parlamentario/comisiones/verExp/1294.25/S/PL","1294")</f>
        <v>1294</v>
      </c>
      <c r="C285" s="3" t="str">
        <f>HYPERLINK("https://www.senado.gob.ar/parlamentario/comisiones/verExp/1294.25/S/PL","2025")</f>
        <v>2025</v>
      </c>
      <c r="D285" s="2" t="s">
        <v>56</v>
      </c>
      <c r="E285" s="2" t="s">
        <v>677</v>
      </c>
      <c r="F285" s="2" t="s">
        <v>664</v>
      </c>
      <c r="I285" s="2" t="s">
        <v>676</v>
      </c>
      <c r="K285" s="2" t="s">
        <v>44</v>
      </c>
      <c r="L285" s="2" t="s">
        <v>645</v>
      </c>
      <c r="N285" s="2" t="s">
        <v>568</v>
      </c>
      <c r="O285" s="2">
        <v>78.0</v>
      </c>
      <c r="P285" s="2" t="s">
        <v>73</v>
      </c>
      <c r="Q285" s="2" t="s">
        <v>650</v>
      </c>
      <c r="S285" s="2">
        <v>54.0</v>
      </c>
      <c r="T285" s="2" t="s">
        <v>65</v>
      </c>
      <c r="U285" s="2" t="s">
        <v>650</v>
      </c>
      <c r="AI285" s="2" t="str">
        <f t="shared" si="5"/>
        <v/>
      </c>
      <c r="AJ285" s="2" t="s">
        <v>49</v>
      </c>
      <c r="AK285" s="2" t="s">
        <v>50</v>
      </c>
    </row>
    <row r="286" ht="15.75" customHeight="1">
      <c r="A286" s="2" t="s">
        <v>39</v>
      </c>
      <c r="B286" s="3" t="str">
        <f>HYPERLINK("https://www.senado.gob.ar/parlamentario/comisiones/verExp/1293.25/S/PL","1293")</f>
        <v>1293</v>
      </c>
      <c r="C286" s="3" t="str">
        <f>HYPERLINK("https://www.senado.gob.ar/parlamentario/comisiones/verExp/1293.25/S/PL","2025")</f>
        <v>2025</v>
      </c>
      <c r="D286" s="2" t="s">
        <v>56</v>
      </c>
      <c r="E286" s="2" t="s">
        <v>678</v>
      </c>
      <c r="F286" s="2" t="s">
        <v>664</v>
      </c>
      <c r="I286" s="2" t="s">
        <v>676</v>
      </c>
      <c r="K286" s="2" t="s">
        <v>44</v>
      </c>
      <c r="L286" s="2" t="s">
        <v>645</v>
      </c>
      <c r="N286" s="2" t="s">
        <v>568</v>
      </c>
      <c r="O286" s="2">
        <v>53.0</v>
      </c>
      <c r="P286" s="2" t="s">
        <v>76</v>
      </c>
      <c r="Q286" s="2" t="s">
        <v>650</v>
      </c>
      <c r="AI286" s="2" t="str">
        <f t="shared" si="5"/>
        <v/>
      </c>
      <c r="AJ286" s="2" t="s">
        <v>49</v>
      </c>
      <c r="AK286" s="2" t="s">
        <v>50</v>
      </c>
    </row>
    <row r="287" ht="15.75" customHeight="1">
      <c r="A287" s="2" t="s">
        <v>39</v>
      </c>
      <c r="B287" s="3" t="str">
        <f>HYPERLINK("https://www.senado.gob.ar/parlamentario/comisiones/verExp/1289.25/S/PR","1289")</f>
        <v>1289</v>
      </c>
      <c r="C287" s="3" t="str">
        <f>HYPERLINK("https://www.senado.gob.ar/parlamentario/comisiones/verExp/1289.25/S/PR","2025")</f>
        <v>2025</v>
      </c>
      <c r="D287" s="2" t="s">
        <v>145</v>
      </c>
      <c r="E287" s="2" t="s">
        <v>679</v>
      </c>
      <c r="F287" s="2" t="s">
        <v>664</v>
      </c>
      <c r="I287" s="2" t="s">
        <v>680</v>
      </c>
      <c r="K287" s="2" t="s">
        <v>44</v>
      </c>
      <c r="L287" s="2" t="s">
        <v>645</v>
      </c>
      <c r="N287" s="2" t="s">
        <v>453</v>
      </c>
      <c r="O287" s="2">
        <v>55.0</v>
      </c>
      <c r="P287" s="2" t="s">
        <v>336</v>
      </c>
      <c r="Q287" s="2" t="s">
        <v>650</v>
      </c>
      <c r="S287" s="2">
        <v>54.0</v>
      </c>
      <c r="T287" s="2" t="s">
        <v>65</v>
      </c>
      <c r="U287" s="2" t="s">
        <v>650</v>
      </c>
      <c r="AI287" s="2" t="str">
        <f t="shared" si="5"/>
        <v/>
      </c>
      <c r="AJ287" s="2" t="s">
        <v>49</v>
      </c>
      <c r="AK287" s="2" t="s">
        <v>50</v>
      </c>
    </row>
    <row r="288" ht="15.75" customHeight="1">
      <c r="A288" s="2" t="s">
        <v>39</v>
      </c>
      <c r="B288" s="3" t="str">
        <f>HYPERLINK("https://www.senado.gob.ar/parlamentario/comisiones/verExp/1287.25/S/PL","1287")</f>
        <v>1287</v>
      </c>
      <c r="C288" s="3" t="str">
        <f>HYPERLINK("https://www.senado.gob.ar/parlamentario/comisiones/verExp/1287.25/S/PL","2025")</f>
        <v>2025</v>
      </c>
      <c r="D288" s="2" t="s">
        <v>56</v>
      </c>
      <c r="E288" s="2" t="s">
        <v>681</v>
      </c>
      <c r="F288" s="2" t="s">
        <v>664</v>
      </c>
      <c r="I288" s="2" t="s">
        <v>682</v>
      </c>
      <c r="K288" s="2" t="s">
        <v>44</v>
      </c>
      <c r="L288" s="2" t="s">
        <v>645</v>
      </c>
      <c r="N288" s="2" t="s">
        <v>683</v>
      </c>
      <c r="O288" s="2">
        <v>67.0</v>
      </c>
      <c r="P288" s="2" t="s">
        <v>84</v>
      </c>
      <c r="Q288" s="2" t="s">
        <v>650</v>
      </c>
      <c r="S288" s="2">
        <v>50.0</v>
      </c>
      <c r="T288" s="2" t="s">
        <v>47</v>
      </c>
      <c r="U288" s="2" t="s">
        <v>650</v>
      </c>
      <c r="AI288" s="2" t="str">
        <f t="shared" si="5"/>
        <v/>
      </c>
      <c r="AJ288" s="2" t="s">
        <v>49</v>
      </c>
      <c r="AK288" s="2" t="s">
        <v>50</v>
      </c>
    </row>
    <row r="289" ht="15.75" customHeight="1">
      <c r="A289" s="2" t="s">
        <v>39</v>
      </c>
      <c r="B289" s="3" t="str">
        <f>HYPERLINK("https://www.senado.gob.ar/parlamentario/comisiones/verExp/1279.25/S/PL","1279")</f>
        <v>1279</v>
      </c>
      <c r="C289" s="3" t="str">
        <f>HYPERLINK("https://www.senado.gob.ar/parlamentario/comisiones/verExp/1279.25/S/PL","2025")</f>
        <v>2025</v>
      </c>
      <c r="D289" s="2" t="s">
        <v>56</v>
      </c>
      <c r="E289" s="2" t="s">
        <v>684</v>
      </c>
      <c r="F289" s="2" t="s">
        <v>685</v>
      </c>
      <c r="I289" s="2" t="s">
        <v>686</v>
      </c>
      <c r="K289" s="2" t="s">
        <v>44</v>
      </c>
      <c r="L289" s="2" t="s">
        <v>645</v>
      </c>
      <c r="N289" s="2" t="s">
        <v>217</v>
      </c>
      <c r="O289" s="2">
        <v>52.0</v>
      </c>
      <c r="P289" s="2" t="s">
        <v>78</v>
      </c>
      <c r="Q289" s="2" t="s">
        <v>650</v>
      </c>
      <c r="S289" s="2">
        <v>54.0</v>
      </c>
      <c r="T289" s="2" t="s">
        <v>65</v>
      </c>
      <c r="U289" s="2" t="s">
        <v>650</v>
      </c>
      <c r="AI289" s="2" t="str">
        <f t="shared" si="5"/>
        <v/>
      </c>
      <c r="AJ289" s="2" t="s">
        <v>49</v>
      </c>
      <c r="AK289" s="2" t="s">
        <v>50</v>
      </c>
    </row>
    <row r="290" ht="15.75" customHeight="1">
      <c r="A290" s="2" t="s">
        <v>39</v>
      </c>
      <c r="B290" s="3" t="str">
        <f>HYPERLINK("https://www.senado.gob.ar/parlamentario/comisiones/verExp/1278.25/S/PL","1278")</f>
        <v>1278</v>
      </c>
      <c r="C290" s="3" t="str">
        <f>HYPERLINK("https://www.senado.gob.ar/parlamentario/comisiones/verExp/1278.25/S/PL","2025")</f>
        <v>2025</v>
      </c>
      <c r="D290" s="2" t="s">
        <v>56</v>
      </c>
      <c r="E290" s="2" t="s">
        <v>687</v>
      </c>
      <c r="F290" s="2" t="s">
        <v>685</v>
      </c>
      <c r="I290" s="2" t="s">
        <v>686</v>
      </c>
      <c r="K290" s="2" t="s">
        <v>44</v>
      </c>
      <c r="L290" s="2" t="s">
        <v>645</v>
      </c>
      <c r="N290" s="2" t="s">
        <v>217</v>
      </c>
      <c r="O290" s="2">
        <v>62.0</v>
      </c>
      <c r="P290" s="2" t="s">
        <v>205</v>
      </c>
      <c r="Q290" s="2" t="s">
        <v>650</v>
      </c>
      <c r="AI290" s="2" t="str">
        <f t="shared" si="5"/>
        <v/>
      </c>
      <c r="AJ290" s="2" t="s">
        <v>49</v>
      </c>
      <c r="AK290" s="2" t="s">
        <v>50</v>
      </c>
    </row>
    <row r="291" ht="15.75" customHeight="1">
      <c r="A291" s="2" t="s">
        <v>39</v>
      </c>
      <c r="B291" s="3" t="str">
        <f>HYPERLINK("https://www.senado.gob.ar/parlamentario/comisiones/verExp/1277.25/S/PL","1277")</f>
        <v>1277</v>
      </c>
      <c r="C291" s="3" t="str">
        <f>HYPERLINK("https://www.senado.gob.ar/parlamentario/comisiones/verExp/1277.25/S/PL","2025")</f>
        <v>2025</v>
      </c>
      <c r="D291" s="2" t="s">
        <v>56</v>
      </c>
      <c r="E291" s="2" t="s">
        <v>688</v>
      </c>
      <c r="F291" s="2" t="s">
        <v>685</v>
      </c>
      <c r="I291" s="2" t="s">
        <v>686</v>
      </c>
      <c r="K291" s="2" t="s">
        <v>44</v>
      </c>
      <c r="L291" s="2" t="s">
        <v>645</v>
      </c>
      <c r="N291" s="2" t="s">
        <v>217</v>
      </c>
      <c r="O291" s="2">
        <v>54.0</v>
      </c>
      <c r="P291" s="2" t="s">
        <v>65</v>
      </c>
      <c r="Q291" s="2" t="s">
        <v>650</v>
      </c>
      <c r="S291" s="2">
        <v>60.0</v>
      </c>
      <c r="T291" s="2" t="s">
        <v>64</v>
      </c>
      <c r="U291" s="2" t="s">
        <v>650</v>
      </c>
      <c r="AI291" s="2" t="str">
        <f t="shared" si="5"/>
        <v/>
      </c>
      <c r="AJ291" s="2" t="s">
        <v>49</v>
      </c>
      <c r="AK291" s="2" t="s">
        <v>50</v>
      </c>
    </row>
    <row r="292" ht="15.75" customHeight="1">
      <c r="A292" s="2" t="s">
        <v>39</v>
      </c>
      <c r="B292" s="3" t="str">
        <f>HYPERLINK("https://www.senado.gob.ar/parlamentario/comisiones/verExp/1274.25/S/PR","1274")</f>
        <v>1274</v>
      </c>
      <c r="C292" s="3" t="str">
        <f>HYPERLINK("https://www.senado.gob.ar/parlamentario/comisiones/verExp/1274.25/S/PR","2025")</f>
        <v>2025</v>
      </c>
      <c r="D292" s="2" t="s">
        <v>145</v>
      </c>
      <c r="E292" s="2" t="s">
        <v>689</v>
      </c>
      <c r="F292" s="2" t="s">
        <v>685</v>
      </c>
      <c r="I292" s="2" t="s">
        <v>686</v>
      </c>
      <c r="K292" s="2" t="s">
        <v>44</v>
      </c>
      <c r="L292" s="2" t="s">
        <v>645</v>
      </c>
      <c r="N292" s="2" t="s">
        <v>142</v>
      </c>
      <c r="O292" s="2">
        <v>103.0</v>
      </c>
      <c r="P292" s="2" t="s">
        <v>690</v>
      </c>
      <c r="Q292" s="2" t="s">
        <v>650</v>
      </c>
      <c r="AI292" s="2" t="str">
        <f t="shared" si="5"/>
        <v/>
      </c>
      <c r="AJ292" s="2" t="s">
        <v>49</v>
      </c>
      <c r="AK292" s="2" t="s">
        <v>50</v>
      </c>
    </row>
    <row r="293" ht="15.75" customHeight="1">
      <c r="A293" s="2" t="s">
        <v>39</v>
      </c>
      <c r="B293" s="3" t="str">
        <f>HYPERLINK("https://www.senado.gob.ar/parlamentario/comisiones/verExp/1273.25/S/PL","1273")</f>
        <v>1273</v>
      </c>
      <c r="C293" s="3" t="str">
        <f>HYPERLINK("https://www.senado.gob.ar/parlamentario/comisiones/verExp/1273.25/S/PL","2025")</f>
        <v>2025</v>
      </c>
      <c r="D293" s="2" t="s">
        <v>56</v>
      </c>
      <c r="E293" s="2" t="s">
        <v>691</v>
      </c>
      <c r="F293" s="2" t="s">
        <v>685</v>
      </c>
      <c r="I293" s="2" t="s">
        <v>692</v>
      </c>
      <c r="K293" s="2" t="s">
        <v>44</v>
      </c>
      <c r="L293" s="2" t="s">
        <v>645</v>
      </c>
      <c r="N293" s="2" t="s">
        <v>226</v>
      </c>
      <c r="O293" s="2">
        <v>53.0</v>
      </c>
      <c r="P293" s="2" t="s">
        <v>76</v>
      </c>
      <c r="Q293" s="2" t="s">
        <v>650</v>
      </c>
      <c r="S293" s="2">
        <v>68.0</v>
      </c>
      <c r="T293" s="2" t="s">
        <v>180</v>
      </c>
      <c r="U293" s="2" t="s">
        <v>650</v>
      </c>
      <c r="W293" s="2">
        <v>69.0</v>
      </c>
      <c r="X293" s="2" t="s">
        <v>135</v>
      </c>
      <c r="Y293" s="2" t="s">
        <v>650</v>
      </c>
      <c r="AI293" s="2" t="str">
        <f t="shared" si="5"/>
        <v/>
      </c>
      <c r="AJ293" s="2" t="s">
        <v>49</v>
      </c>
      <c r="AK293" s="2" t="s">
        <v>50</v>
      </c>
    </row>
    <row r="294" ht="15.75" customHeight="1">
      <c r="A294" s="2" t="s">
        <v>39</v>
      </c>
      <c r="B294" s="3" t="str">
        <f>HYPERLINK("https://www.senado.gob.ar/parlamentario/comisiones/verExp/1271.25/S/PL","1271")</f>
        <v>1271</v>
      </c>
      <c r="C294" s="3" t="str">
        <f>HYPERLINK("https://www.senado.gob.ar/parlamentario/comisiones/verExp/1271.25/S/PL","2025")</f>
        <v>2025</v>
      </c>
      <c r="D294" s="2" t="s">
        <v>56</v>
      </c>
      <c r="E294" s="2" t="s">
        <v>693</v>
      </c>
      <c r="F294" s="2" t="s">
        <v>685</v>
      </c>
      <c r="I294" s="2" t="s">
        <v>694</v>
      </c>
      <c r="K294" s="2" t="s">
        <v>44</v>
      </c>
      <c r="L294" s="2" t="s">
        <v>645</v>
      </c>
      <c r="N294" s="2" t="s">
        <v>160</v>
      </c>
      <c r="O294" s="2">
        <v>65.0</v>
      </c>
      <c r="P294" s="2" t="s">
        <v>153</v>
      </c>
      <c r="Q294" s="2" t="s">
        <v>650</v>
      </c>
      <c r="AI294" s="2" t="str">
        <f t="shared" si="5"/>
        <v/>
      </c>
      <c r="AJ294" s="2" t="s">
        <v>49</v>
      </c>
      <c r="AK294" s="2" t="s">
        <v>50</v>
      </c>
    </row>
    <row r="295" ht="15.75" customHeight="1">
      <c r="A295" s="2" t="s">
        <v>39</v>
      </c>
      <c r="B295" s="3" t="str">
        <f>HYPERLINK("https://www.senado.gob.ar/parlamentario/comisiones/verExp/1256.25/S/PL","1256")</f>
        <v>1256</v>
      </c>
      <c r="C295" s="3" t="str">
        <f>HYPERLINK("https://www.senado.gob.ar/parlamentario/comisiones/verExp/1256.25/S/PL","2025")</f>
        <v>2025</v>
      </c>
      <c r="D295" s="2" t="s">
        <v>56</v>
      </c>
      <c r="E295" s="2" t="s">
        <v>695</v>
      </c>
      <c r="F295" s="2" t="s">
        <v>696</v>
      </c>
      <c r="I295" s="2" t="s">
        <v>697</v>
      </c>
      <c r="K295" s="2" t="s">
        <v>44</v>
      </c>
      <c r="L295" s="2" t="s">
        <v>698</v>
      </c>
      <c r="N295" s="2" t="s">
        <v>699</v>
      </c>
      <c r="O295" s="2">
        <v>50.0</v>
      </c>
      <c r="P295" s="2" t="s">
        <v>47</v>
      </c>
      <c r="Q295" s="2" t="s">
        <v>700</v>
      </c>
      <c r="S295" s="2">
        <v>67.0</v>
      </c>
      <c r="T295" s="2" t="s">
        <v>84</v>
      </c>
      <c r="U295" s="2" t="s">
        <v>700</v>
      </c>
      <c r="AI295" s="2" t="str">
        <f t="shared" si="5"/>
        <v/>
      </c>
      <c r="AJ295" s="2" t="s">
        <v>49</v>
      </c>
      <c r="AK295" s="2" t="s">
        <v>50</v>
      </c>
    </row>
    <row r="296" ht="15.75" customHeight="1">
      <c r="A296" s="2" t="s">
        <v>39</v>
      </c>
      <c r="B296" s="3" t="str">
        <f>HYPERLINK("https://www.senado.gob.ar/parlamentario/comisiones/verExp/1255.25/S/PL","1255")</f>
        <v>1255</v>
      </c>
      <c r="C296" s="3" t="str">
        <f>HYPERLINK("https://www.senado.gob.ar/parlamentario/comisiones/verExp/1255.25/S/PL","2025")</f>
        <v>2025</v>
      </c>
      <c r="D296" s="2" t="s">
        <v>56</v>
      </c>
      <c r="E296" s="2" t="s">
        <v>701</v>
      </c>
      <c r="F296" s="2" t="s">
        <v>702</v>
      </c>
      <c r="I296" s="2" t="s">
        <v>697</v>
      </c>
      <c r="K296" s="2" t="s">
        <v>44</v>
      </c>
      <c r="L296" s="2" t="s">
        <v>698</v>
      </c>
      <c r="N296" s="2" t="s">
        <v>703</v>
      </c>
      <c r="O296" s="2">
        <v>50.0</v>
      </c>
      <c r="P296" s="2" t="s">
        <v>47</v>
      </c>
      <c r="Q296" s="2" t="s">
        <v>700</v>
      </c>
      <c r="S296" s="2">
        <v>62.0</v>
      </c>
      <c r="T296" s="2" t="s">
        <v>205</v>
      </c>
      <c r="U296" s="2" t="s">
        <v>700</v>
      </c>
      <c r="AI296" s="2" t="str">
        <f t="shared" si="5"/>
        <v/>
      </c>
      <c r="AJ296" s="2" t="s">
        <v>49</v>
      </c>
      <c r="AK296" s="2" t="s">
        <v>50</v>
      </c>
    </row>
    <row r="297" ht="15.75" customHeight="1">
      <c r="A297" s="2" t="s">
        <v>39</v>
      </c>
      <c r="B297" s="3" t="str">
        <f>HYPERLINK("https://www.senado.gob.ar/parlamentario/comisiones/verExp/1253.25/S/PL","1253")</f>
        <v>1253</v>
      </c>
      <c r="C297" s="3" t="str">
        <f>HYPERLINK("https://www.senado.gob.ar/parlamentario/comisiones/verExp/1253.25/S/PL","2025")</f>
        <v>2025</v>
      </c>
      <c r="D297" s="2" t="s">
        <v>56</v>
      </c>
      <c r="E297" s="2" t="s">
        <v>704</v>
      </c>
      <c r="F297" s="2" t="s">
        <v>702</v>
      </c>
      <c r="I297" s="2" t="s">
        <v>697</v>
      </c>
      <c r="K297" s="2" t="s">
        <v>44</v>
      </c>
      <c r="L297" s="2" t="s">
        <v>698</v>
      </c>
      <c r="N297" s="2" t="s">
        <v>705</v>
      </c>
      <c r="O297" s="2">
        <v>50.0</v>
      </c>
      <c r="P297" s="2" t="s">
        <v>47</v>
      </c>
      <c r="Q297" s="2" t="s">
        <v>700</v>
      </c>
      <c r="S297" s="2">
        <v>52.0</v>
      </c>
      <c r="T297" s="2" t="s">
        <v>78</v>
      </c>
      <c r="U297" s="2" t="s">
        <v>700</v>
      </c>
      <c r="W297" s="2">
        <v>68.0</v>
      </c>
      <c r="X297" s="2" t="s">
        <v>180</v>
      </c>
      <c r="Y297" s="2" t="s">
        <v>700</v>
      </c>
      <c r="AI297" s="2" t="str">
        <f t="shared" si="5"/>
        <v/>
      </c>
      <c r="AJ297" s="2" t="s">
        <v>49</v>
      </c>
      <c r="AK297" s="2" t="s">
        <v>50</v>
      </c>
    </row>
    <row r="298" ht="15.75" customHeight="1">
      <c r="A298" s="2" t="s">
        <v>39</v>
      </c>
      <c r="B298" s="3" t="str">
        <f>HYPERLINK("https://www.senado.gob.ar/parlamentario/comisiones/verExp/1250.25/S/PL","1250")</f>
        <v>1250</v>
      </c>
      <c r="C298" s="3" t="str">
        <f>HYPERLINK("https://www.senado.gob.ar/parlamentario/comisiones/verExp/1250.25/S/PL","2025")</f>
        <v>2025</v>
      </c>
      <c r="D298" s="2" t="s">
        <v>56</v>
      </c>
      <c r="E298" s="2" t="s">
        <v>706</v>
      </c>
      <c r="F298" s="2" t="s">
        <v>702</v>
      </c>
      <c r="I298" s="2" t="s">
        <v>697</v>
      </c>
      <c r="K298" s="2" t="s">
        <v>44</v>
      </c>
      <c r="L298" s="2" t="s">
        <v>698</v>
      </c>
      <c r="N298" s="2" t="s">
        <v>287</v>
      </c>
      <c r="O298" s="2">
        <v>61.0</v>
      </c>
      <c r="P298" s="2" t="s">
        <v>104</v>
      </c>
      <c r="Q298" s="2" t="s">
        <v>700</v>
      </c>
      <c r="S298" s="2">
        <v>54.0</v>
      </c>
      <c r="T298" s="2" t="s">
        <v>65</v>
      </c>
      <c r="U298" s="2" t="s">
        <v>700</v>
      </c>
      <c r="AI298" s="2" t="str">
        <f t="shared" si="5"/>
        <v/>
      </c>
      <c r="AJ298" s="2" t="s">
        <v>49</v>
      </c>
      <c r="AK298" s="2" t="s">
        <v>50</v>
      </c>
    </row>
    <row r="299" ht="15.75" customHeight="1">
      <c r="A299" s="2" t="s">
        <v>39</v>
      </c>
      <c r="B299" s="3" t="str">
        <f>HYPERLINK("https://www.senado.gob.ar/parlamentario/comisiones/verExp/1249.25/S/PL","1249")</f>
        <v>1249</v>
      </c>
      <c r="C299" s="3" t="str">
        <f>HYPERLINK("https://www.senado.gob.ar/parlamentario/comisiones/verExp/1249.25/S/PL","2025")</f>
        <v>2025</v>
      </c>
      <c r="D299" s="2" t="s">
        <v>56</v>
      </c>
      <c r="E299" s="2" t="s">
        <v>707</v>
      </c>
      <c r="F299" s="2" t="s">
        <v>702</v>
      </c>
      <c r="I299" s="2" t="s">
        <v>697</v>
      </c>
      <c r="K299" s="2" t="s">
        <v>44</v>
      </c>
      <c r="L299" s="2" t="s">
        <v>698</v>
      </c>
      <c r="N299" s="2" t="s">
        <v>226</v>
      </c>
      <c r="O299" s="2">
        <v>54.0</v>
      </c>
      <c r="P299" s="2" t="s">
        <v>65</v>
      </c>
      <c r="Q299" s="2" t="s">
        <v>700</v>
      </c>
      <c r="AI299" s="2" t="str">
        <f t="shared" si="5"/>
        <v/>
      </c>
      <c r="AJ299" s="2" t="s">
        <v>49</v>
      </c>
      <c r="AK299" s="2" t="s">
        <v>50</v>
      </c>
    </row>
    <row r="300" ht="15.75" customHeight="1">
      <c r="A300" s="2" t="s">
        <v>39</v>
      </c>
      <c r="B300" s="3" t="str">
        <f>HYPERLINK("https://www.senado.gob.ar/parlamentario/comisiones/verExp/1244.25/S/PL","1244")</f>
        <v>1244</v>
      </c>
      <c r="C300" s="3" t="str">
        <f>HYPERLINK("https://www.senado.gob.ar/parlamentario/comisiones/verExp/1244.25/S/PL","2025")</f>
        <v>2025</v>
      </c>
      <c r="D300" s="2" t="s">
        <v>56</v>
      </c>
      <c r="E300" s="2" t="s">
        <v>708</v>
      </c>
      <c r="F300" s="2" t="s">
        <v>702</v>
      </c>
      <c r="I300" s="2" t="s">
        <v>709</v>
      </c>
      <c r="K300" s="2" t="s">
        <v>44</v>
      </c>
      <c r="L300" s="2" t="s">
        <v>698</v>
      </c>
      <c r="N300" s="2" t="s">
        <v>453</v>
      </c>
      <c r="O300" s="2">
        <v>53.0</v>
      </c>
      <c r="P300" s="2" t="s">
        <v>76</v>
      </c>
      <c r="Q300" s="2" t="s">
        <v>700</v>
      </c>
      <c r="S300" s="2">
        <v>50.0</v>
      </c>
      <c r="T300" s="2" t="s">
        <v>47</v>
      </c>
      <c r="U300" s="2" t="s">
        <v>700</v>
      </c>
      <c r="W300" s="2">
        <v>70.0</v>
      </c>
      <c r="X300" s="2" t="s">
        <v>166</v>
      </c>
      <c r="Y300" s="2" t="s">
        <v>700</v>
      </c>
      <c r="AI300" s="2" t="str">
        <f t="shared" si="5"/>
        <v/>
      </c>
      <c r="AJ300" s="2" t="s">
        <v>49</v>
      </c>
      <c r="AK300" s="2" t="s">
        <v>50</v>
      </c>
    </row>
    <row r="301" ht="15.75" customHeight="1">
      <c r="A301" s="2" t="s">
        <v>39</v>
      </c>
      <c r="B301" s="3" t="str">
        <f>HYPERLINK("https://www.senado.gob.ar/parlamentario/comisiones/verExp/1243.25/S/PL","1243")</f>
        <v>1243</v>
      </c>
      <c r="C301" s="3" t="str">
        <f>HYPERLINK("https://www.senado.gob.ar/parlamentario/comisiones/verExp/1243.25/S/PL","2025")</f>
        <v>2025</v>
      </c>
      <c r="D301" s="2" t="s">
        <v>56</v>
      </c>
      <c r="E301" s="2" t="s">
        <v>710</v>
      </c>
      <c r="F301" s="2" t="s">
        <v>702</v>
      </c>
      <c r="I301" s="2" t="s">
        <v>709</v>
      </c>
      <c r="K301" s="2" t="s">
        <v>44</v>
      </c>
      <c r="L301" s="2" t="s">
        <v>698</v>
      </c>
      <c r="N301" s="2" t="s">
        <v>711</v>
      </c>
      <c r="O301" s="2">
        <v>50.0</v>
      </c>
      <c r="P301" s="2" t="s">
        <v>47</v>
      </c>
      <c r="Q301" s="2" t="s">
        <v>700</v>
      </c>
      <c r="S301" s="2">
        <v>62.0</v>
      </c>
      <c r="T301" s="2" t="s">
        <v>205</v>
      </c>
      <c r="U301" s="2" t="s">
        <v>700</v>
      </c>
      <c r="AI301" s="2" t="str">
        <f t="shared" si="5"/>
        <v/>
      </c>
      <c r="AJ301" s="2" t="s">
        <v>49</v>
      </c>
      <c r="AK301" s="2" t="s">
        <v>50</v>
      </c>
    </row>
    <row r="302" ht="15.75" customHeight="1">
      <c r="A302" s="2" t="s">
        <v>39</v>
      </c>
      <c r="B302" s="3" t="str">
        <f>HYPERLINK("https://www.senado.gob.ar/parlamentario/comisiones/verExp/1242.25/S/PL","1242")</f>
        <v>1242</v>
      </c>
      <c r="C302" s="3" t="str">
        <f>HYPERLINK("https://www.senado.gob.ar/parlamentario/comisiones/verExp/1242.25/S/PL","2025")</f>
        <v>2025</v>
      </c>
      <c r="D302" s="2" t="s">
        <v>56</v>
      </c>
      <c r="E302" s="2" t="s">
        <v>712</v>
      </c>
      <c r="F302" s="2" t="s">
        <v>702</v>
      </c>
      <c r="I302" s="2" t="s">
        <v>709</v>
      </c>
      <c r="K302" s="2" t="s">
        <v>44</v>
      </c>
      <c r="L302" s="2" t="s">
        <v>698</v>
      </c>
      <c r="N302" s="2" t="s">
        <v>603</v>
      </c>
      <c r="O302" s="2">
        <v>50.0</v>
      </c>
      <c r="P302" s="2" t="s">
        <v>47</v>
      </c>
      <c r="Q302" s="2" t="s">
        <v>700</v>
      </c>
      <c r="S302" s="2">
        <v>67.0</v>
      </c>
      <c r="T302" s="2" t="s">
        <v>84</v>
      </c>
      <c r="U302" s="2" t="s">
        <v>700</v>
      </c>
      <c r="AI302" s="2" t="str">
        <f t="shared" si="5"/>
        <v/>
      </c>
      <c r="AJ302" s="2" t="s">
        <v>49</v>
      </c>
      <c r="AK302" s="2" t="s">
        <v>50</v>
      </c>
    </row>
    <row r="303" ht="15.75" customHeight="1">
      <c r="A303" s="2" t="s">
        <v>39</v>
      </c>
      <c r="B303" s="3" t="str">
        <f>HYPERLINK("https://www.senado.gob.ar/parlamentario/comisiones/verExp/1228.25/S/PL","1228")</f>
        <v>1228</v>
      </c>
      <c r="C303" s="3" t="str">
        <f>HYPERLINK("https://www.senado.gob.ar/parlamentario/comisiones/verExp/1228.25/S/PL","2025")</f>
        <v>2025</v>
      </c>
      <c r="D303" s="2" t="s">
        <v>56</v>
      </c>
      <c r="E303" s="2" t="s">
        <v>713</v>
      </c>
      <c r="F303" s="2" t="s">
        <v>714</v>
      </c>
      <c r="I303" s="2" t="s">
        <v>715</v>
      </c>
      <c r="K303" s="2" t="s">
        <v>44</v>
      </c>
      <c r="L303" s="2" t="s">
        <v>698</v>
      </c>
      <c r="N303" s="2" t="s">
        <v>603</v>
      </c>
      <c r="O303" s="2">
        <v>75.0</v>
      </c>
      <c r="P303" s="2" t="s">
        <v>71</v>
      </c>
      <c r="Q303" s="2" t="s">
        <v>700</v>
      </c>
      <c r="S303" s="2">
        <v>73.0</v>
      </c>
      <c r="T303" s="2" t="s">
        <v>237</v>
      </c>
      <c r="U303" s="2" t="s">
        <v>700</v>
      </c>
      <c r="AI303" s="2" t="str">
        <f t="shared" si="5"/>
        <v/>
      </c>
      <c r="AJ303" s="2" t="s">
        <v>49</v>
      </c>
      <c r="AK303" s="2" t="s">
        <v>50</v>
      </c>
    </row>
    <row r="304" ht="15.75" customHeight="1">
      <c r="A304" s="2" t="s">
        <v>39</v>
      </c>
      <c r="B304" s="3" t="str">
        <f>HYPERLINK("https://www.senado.gob.ar/parlamentario/comisiones/verExp/1226.25/S/PL","1226")</f>
        <v>1226</v>
      </c>
      <c r="C304" s="3" t="str">
        <f>HYPERLINK("https://www.senado.gob.ar/parlamentario/comisiones/verExp/1226.25/S/PL","2025")</f>
        <v>2025</v>
      </c>
      <c r="D304" s="2" t="s">
        <v>56</v>
      </c>
      <c r="E304" s="2" t="s">
        <v>716</v>
      </c>
      <c r="F304" s="2" t="s">
        <v>714</v>
      </c>
      <c r="I304" s="2" t="s">
        <v>717</v>
      </c>
      <c r="K304" s="2" t="s">
        <v>44</v>
      </c>
      <c r="L304" s="2" t="s">
        <v>698</v>
      </c>
      <c r="N304" s="2" t="s">
        <v>718</v>
      </c>
      <c r="O304" s="2">
        <v>78.0</v>
      </c>
      <c r="P304" s="2" t="s">
        <v>73</v>
      </c>
      <c r="Q304" s="2" t="s">
        <v>700</v>
      </c>
      <c r="S304" s="2">
        <v>52.0</v>
      </c>
      <c r="T304" s="2" t="s">
        <v>78</v>
      </c>
      <c r="U304" s="2" t="s">
        <v>700</v>
      </c>
      <c r="AI304" s="2" t="str">
        <f t="shared" si="5"/>
        <v/>
      </c>
      <c r="AJ304" s="2" t="s">
        <v>49</v>
      </c>
      <c r="AK304" s="2" t="s">
        <v>50</v>
      </c>
    </row>
    <row r="305" ht="15.75" customHeight="1">
      <c r="A305" s="2" t="s">
        <v>39</v>
      </c>
      <c r="B305" s="3" t="str">
        <f>HYPERLINK("https://www.senado.gob.ar/parlamentario/comisiones/verExp/1214.25/S/PL","1214")</f>
        <v>1214</v>
      </c>
      <c r="C305" s="3" t="str">
        <f>HYPERLINK("https://www.senado.gob.ar/parlamentario/comisiones/verExp/1214.25/S/PL","2025")</f>
        <v>2025</v>
      </c>
      <c r="D305" s="2" t="s">
        <v>56</v>
      </c>
      <c r="E305" s="2" t="s">
        <v>719</v>
      </c>
      <c r="F305" s="2" t="s">
        <v>720</v>
      </c>
      <c r="I305" s="2" t="s">
        <v>721</v>
      </c>
      <c r="K305" s="2" t="s">
        <v>44</v>
      </c>
      <c r="L305" s="2" t="s">
        <v>698</v>
      </c>
      <c r="N305" s="2" t="s">
        <v>279</v>
      </c>
      <c r="O305" s="2">
        <v>77.0</v>
      </c>
      <c r="P305" s="2" t="s">
        <v>70</v>
      </c>
      <c r="Q305" s="2" t="s">
        <v>700</v>
      </c>
      <c r="AI305" s="2" t="str">
        <f t="shared" si="5"/>
        <v/>
      </c>
      <c r="AJ305" s="2" t="s">
        <v>49</v>
      </c>
      <c r="AK305" s="2" t="s">
        <v>50</v>
      </c>
    </row>
    <row r="306" ht="15.75" customHeight="1">
      <c r="A306" s="2" t="s">
        <v>39</v>
      </c>
      <c r="B306" s="3" t="str">
        <f>HYPERLINK("https://www.senado.gob.ar/parlamentario/comisiones/verExp/1213.25/S/PL","1213")</f>
        <v>1213</v>
      </c>
      <c r="C306" s="3" t="str">
        <f>HYPERLINK("https://www.senado.gob.ar/parlamentario/comisiones/verExp/1213.25/S/PL","2025")</f>
        <v>2025</v>
      </c>
      <c r="D306" s="2" t="s">
        <v>56</v>
      </c>
      <c r="E306" s="2" t="s">
        <v>722</v>
      </c>
      <c r="F306" s="2" t="s">
        <v>720</v>
      </c>
      <c r="I306" s="2" t="s">
        <v>721</v>
      </c>
      <c r="K306" s="2" t="s">
        <v>44</v>
      </c>
      <c r="L306" s="2" t="s">
        <v>698</v>
      </c>
      <c r="N306" s="2" t="s">
        <v>279</v>
      </c>
      <c r="O306" s="2">
        <v>54.0</v>
      </c>
      <c r="P306" s="2" t="s">
        <v>65</v>
      </c>
      <c r="Q306" s="2" t="s">
        <v>700</v>
      </c>
      <c r="AI306" s="2" t="str">
        <f t="shared" si="5"/>
        <v/>
      </c>
      <c r="AJ306" s="2" t="s">
        <v>49</v>
      </c>
      <c r="AK306" s="2" t="s">
        <v>50</v>
      </c>
    </row>
    <row r="307" ht="15.75" customHeight="1">
      <c r="A307" s="2" t="s">
        <v>39</v>
      </c>
      <c r="B307" s="3" t="str">
        <f>HYPERLINK("https://www.senado.gob.ar/parlamentario/comisiones/verExp/1211.25/S/CO","1211")</f>
        <v>1211</v>
      </c>
      <c r="C307" s="3" t="str">
        <f>HYPERLINK("https://www.senado.gob.ar/parlamentario/comisiones/verExp/1211.25/S/CO","2025")</f>
        <v>2025</v>
      </c>
      <c r="D307" s="2" t="s">
        <v>40</v>
      </c>
      <c r="E307" s="2" t="s">
        <v>606</v>
      </c>
      <c r="F307" s="2" t="s">
        <v>723</v>
      </c>
      <c r="I307" s="2" t="s">
        <v>724</v>
      </c>
      <c r="K307" s="2" t="s">
        <v>44</v>
      </c>
      <c r="L307" s="2" t="s">
        <v>721</v>
      </c>
      <c r="N307" s="2" t="s">
        <v>427</v>
      </c>
      <c r="O307" s="2">
        <v>50.0</v>
      </c>
      <c r="P307" s="2" t="s">
        <v>47</v>
      </c>
      <c r="Q307" s="2" t="s">
        <v>725</v>
      </c>
      <c r="AI307" s="2" t="str">
        <f t="shared" si="5"/>
        <v/>
      </c>
      <c r="AJ307" s="2" t="s">
        <v>49</v>
      </c>
      <c r="AK307" s="2" t="s">
        <v>50</v>
      </c>
    </row>
    <row r="308" ht="15.75" customHeight="1">
      <c r="A308" s="2" t="s">
        <v>39</v>
      </c>
      <c r="B308" s="3" t="str">
        <f>HYPERLINK("https://www.senado.gob.ar/parlamentario/comisiones/verExp/1206.25/S/PL","1206")</f>
        <v>1206</v>
      </c>
      <c r="C308" s="3" t="str">
        <f>HYPERLINK("https://www.senado.gob.ar/parlamentario/comisiones/verExp/1206.25/S/PL","2025")</f>
        <v>2025</v>
      </c>
      <c r="D308" s="2" t="s">
        <v>56</v>
      </c>
      <c r="E308" s="2" t="s">
        <v>726</v>
      </c>
      <c r="F308" s="2" t="s">
        <v>720</v>
      </c>
      <c r="I308" s="2" t="s">
        <v>724</v>
      </c>
      <c r="K308" s="2" t="s">
        <v>44</v>
      </c>
      <c r="L308" s="2" t="s">
        <v>698</v>
      </c>
      <c r="N308" s="2" t="s">
        <v>727</v>
      </c>
      <c r="O308" s="2">
        <v>62.0</v>
      </c>
      <c r="P308" s="2" t="s">
        <v>205</v>
      </c>
      <c r="Q308" s="2" t="s">
        <v>700</v>
      </c>
      <c r="AI308" s="2" t="str">
        <f t="shared" si="5"/>
        <v/>
      </c>
      <c r="AJ308" s="2" t="s">
        <v>49</v>
      </c>
      <c r="AK308" s="2" t="s">
        <v>50</v>
      </c>
    </row>
    <row r="309" ht="15.75" customHeight="1">
      <c r="A309" s="2" t="s">
        <v>39</v>
      </c>
      <c r="B309" s="3" t="str">
        <f>HYPERLINK("https://www.senado.gob.ar/parlamentario/comisiones/verExp/1194.25/S/PR","1194")</f>
        <v>1194</v>
      </c>
      <c r="C309" s="3" t="str">
        <f>HYPERLINK("https://www.senado.gob.ar/parlamentario/comisiones/verExp/1194.25/S/PR","2025")</f>
        <v>2025</v>
      </c>
      <c r="D309" s="2" t="s">
        <v>145</v>
      </c>
      <c r="E309" s="2" t="s">
        <v>728</v>
      </c>
      <c r="F309" s="2" t="s">
        <v>729</v>
      </c>
      <c r="I309" s="2" t="s">
        <v>730</v>
      </c>
      <c r="K309" s="2" t="s">
        <v>44</v>
      </c>
      <c r="L309" s="2" t="s">
        <v>730</v>
      </c>
      <c r="N309" s="2" t="s">
        <v>140</v>
      </c>
      <c r="O309" s="2">
        <v>77.0</v>
      </c>
      <c r="P309" s="2" t="s">
        <v>70</v>
      </c>
      <c r="Q309" s="2" t="s">
        <v>731</v>
      </c>
      <c r="S309" s="2">
        <v>54.0</v>
      </c>
      <c r="T309" s="2" t="s">
        <v>65</v>
      </c>
      <c r="U309" s="2" t="s">
        <v>731</v>
      </c>
      <c r="AI309" s="2" t="str">
        <f t="shared" si="5"/>
        <v/>
      </c>
      <c r="AJ309" s="2" t="s">
        <v>49</v>
      </c>
      <c r="AK309" s="2" t="s">
        <v>50</v>
      </c>
    </row>
    <row r="310" ht="15.75" customHeight="1">
      <c r="A310" s="2" t="s">
        <v>39</v>
      </c>
      <c r="B310" s="3" t="str">
        <f>HYPERLINK("https://www.senado.gob.ar/parlamentario/comisiones/verExp/1186.25/S/PL","1186")</f>
        <v>1186</v>
      </c>
      <c r="C310" s="3" t="str">
        <f>HYPERLINK("https://www.senado.gob.ar/parlamentario/comisiones/verExp/1186.25/S/PL","2025")</f>
        <v>2025</v>
      </c>
      <c r="D310" s="2" t="s">
        <v>56</v>
      </c>
      <c r="E310" s="2" t="s">
        <v>732</v>
      </c>
      <c r="F310" s="2" t="s">
        <v>729</v>
      </c>
      <c r="I310" s="2" t="s">
        <v>733</v>
      </c>
      <c r="K310" s="2" t="s">
        <v>44</v>
      </c>
      <c r="L310" s="2" t="s">
        <v>730</v>
      </c>
      <c r="N310" s="2" t="s">
        <v>168</v>
      </c>
      <c r="O310" s="2">
        <v>54.0</v>
      </c>
      <c r="P310" s="2" t="s">
        <v>65</v>
      </c>
      <c r="Q310" s="2" t="s">
        <v>731</v>
      </c>
      <c r="S310" s="2">
        <v>72.0</v>
      </c>
      <c r="T310" s="2" t="s">
        <v>243</v>
      </c>
      <c r="U310" s="2" t="s">
        <v>731</v>
      </c>
      <c r="AI310" s="2" t="str">
        <f t="shared" si="5"/>
        <v/>
      </c>
      <c r="AJ310" s="2" t="s">
        <v>49</v>
      </c>
      <c r="AK310" s="2" t="s">
        <v>50</v>
      </c>
    </row>
    <row r="311" ht="15.75" customHeight="1">
      <c r="A311" s="2" t="s">
        <v>39</v>
      </c>
      <c r="B311" s="3" t="str">
        <f>HYPERLINK("https://www.senado.gob.ar/parlamentario/comisiones/verExp/1184.25/S/PL","1184")</f>
        <v>1184</v>
      </c>
      <c r="C311" s="3" t="str">
        <f>HYPERLINK("https://www.senado.gob.ar/parlamentario/comisiones/verExp/1184.25/S/PL","2025")</f>
        <v>2025</v>
      </c>
      <c r="D311" s="2" t="s">
        <v>56</v>
      </c>
      <c r="E311" s="2" t="s">
        <v>734</v>
      </c>
      <c r="F311" s="2" t="s">
        <v>729</v>
      </c>
      <c r="I311" s="2" t="s">
        <v>733</v>
      </c>
      <c r="K311" s="2" t="s">
        <v>44</v>
      </c>
      <c r="L311" s="2" t="s">
        <v>730</v>
      </c>
      <c r="N311" s="2" t="s">
        <v>160</v>
      </c>
      <c r="O311" s="2">
        <v>53.0</v>
      </c>
      <c r="P311" s="2" t="s">
        <v>76</v>
      </c>
      <c r="Q311" s="2" t="s">
        <v>731</v>
      </c>
      <c r="S311" s="2">
        <v>67.0</v>
      </c>
      <c r="T311" s="2" t="s">
        <v>84</v>
      </c>
      <c r="U311" s="2" t="s">
        <v>731</v>
      </c>
      <c r="AI311" s="2" t="str">
        <f t="shared" si="5"/>
        <v/>
      </c>
      <c r="AJ311" s="2" t="s">
        <v>49</v>
      </c>
      <c r="AK311" s="2" t="s">
        <v>50</v>
      </c>
    </row>
    <row r="312" ht="15.75" customHeight="1">
      <c r="A312" s="2" t="s">
        <v>39</v>
      </c>
      <c r="B312" s="3" t="str">
        <f>HYPERLINK("https://www.senado.gob.ar/parlamentario/comisiones/verExp/1183.25/S/PL","1183")</f>
        <v>1183</v>
      </c>
      <c r="C312" s="3" t="str">
        <f>HYPERLINK("https://www.senado.gob.ar/parlamentario/comisiones/verExp/1183.25/S/PL","2025")</f>
        <v>2025</v>
      </c>
      <c r="D312" s="2" t="s">
        <v>56</v>
      </c>
      <c r="E312" s="2" t="s">
        <v>735</v>
      </c>
      <c r="F312" s="2" t="s">
        <v>736</v>
      </c>
      <c r="I312" s="2" t="s">
        <v>733</v>
      </c>
      <c r="K312" s="2" t="s">
        <v>44</v>
      </c>
      <c r="L312" s="2" t="s">
        <v>730</v>
      </c>
      <c r="N312" s="2" t="s">
        <v>737</v>
      </c>
      <c r="O312" s="2">
        <v>50.0</v>
      </c>
      <c r="P312" s="2" t="s">
        <v>47</v>
      </c>
      <c r="Q312" s="2" t="s">
        <v>731</v>
      </c>
      <c r="S312" s="2">
        <v>52.0</v>
      </c>
      <c r="T312" s="2" t="s">
        <v>78</v>
      </c>
      <c r="U312" s="2" t="s">
        <v>731</v>
      </c>
      <c r="AI312" s="2" t="str">
        <f t="shared" si="5"/>
        <v/>
      </c>
      <c r="AJ312" s="2" t="s">
        <v>49</v>
      </c>
      <c r="AK312" s="2" t="s">
        <v>50</v>
      </c>
    </row>
    <row r="313" ht="15.75" customHeight="1">
      <c r="A313" s="2" t="s">
        <v>39</v>
      </c>
      <c r="B313" s="3" t="str">
        <f>HYPERLINK("https://www.senado.gob.ar/parlamentario/comisiones/verExp/1182.25/S/PL","1182")</f>
        <v>1182</v>
      </c>
      <c r="C313" s="3" t="str">
        <f>HYPERLINK("https://www.senado.gob.ar/parlamentario/comisiones/verExp/1182.25/S/PL","2025")</f>
        <v>2025</v>
      </c>
      <c r="D313" s="2" t="s">
        <v>56</v>
      </c>
      <c r="E313" s="2" t="s">
        <v>738</v>
      </c>
      <c r="F313" s="2" t="s">
        <v>736</v>
      </c>
      <c r="I313" s="2" t="s">
        <v>733</v>
      </c>
      <c r="K313" s="2" t="s">
        <v>44</v>
      </c>
      <c r="L313" s="2" t="s">
        <v>730</v>
      </c>
      <c r="N313" s="2" t="s">
        <v>453</v>
      </c>
      <c r="O313" s="2">
        <v>76.0</v>
      </c>
      <c r="P313" s="2" t="s">
        <v>233</v>
      </c>
      <c r="Q313" s="2" t="s">
        <v>731</v>
      </c>
      <c r="S313" s="2">
        <v>54.0</v>
      </c>
      <c r="T313" s="2" t="s">
        <v>65</v>
      </c>
      <c r="U313" s="2" t="s">
        <v>731</v>
      </c>
      <c r="AI313" s="2" t="str">
        <f t="shared" si="5"/>
        <v/>
      </c>
      <c r="AJ313" s="2" t="s">
        <v>49</v>
      </c>
      <c r="AK313" s="2" t="s">
        <v>50</v>
      </c>
    </row>
    <row r="314" ht="15.75" customHeight="1">
      <c r="A314" s="2" t="s">
        <v>39</v>
      </c>
      <c r="B314" s="3" t="str">
        <f>HYPERLINK("https://www.senado.gob.ar/parlamentario/comisiones/verExp/1179.25/S/PL","1179")</f>
        <v>1179</v>
      </c>
      <c r="C314" s="3" t="str">
        <f>HYPERLINK("https://www.senado.gob.ar/parlamentario/comisiones/verExp/1179.25/S/PL","2025")</f>
        <v>2025</v>
      </c>
      <c r="D314" s="2" t="s">
        <v>56</v>
      </c>
      <c r="E314" s="2" t="s">
        <v>739</v>
      </c>
      <c r="F314" s="2" t="s">
        <v>736</v>
      </c>
      <c r="I314" s="2" t="s">
        <v>740</v>
      </c>
      <c r="K314" s="2" t="s">
        <v>44</v>
      </c>
      <c r="L314" s="2" t="s">
        <v>730</v>
      </c>
      <c r="N314" s="2" t="s">
        <v>741</v>
      </c>
      <c r="O314" s="2">
        <v>67.0</v>
      </c>
      <c r="P314" s="2" t="s">
        <v>84</v>
      </c>
      <c r="Q314" s="2" t="s">
        <v>731</v>
      </c>
      <c r="S314" s="2">
        <v>54.0</v>
      </c>
      <c r="T314" s="2" t="s">
        <v>65</v>
      </c>
      <c r="U314" s="2" t="s">
        <v>731</v>
      </c>
      <c r="AI314" s="2" t="str">
        <f t="shared" si="5"/>
        <v/>
      </c>
      <c r="AJ314" s="2" t="s">
        <v>49</v>
      </c>
      <c r="AK314" s="2" t="s">
        <v>50</v>
      </c>
    </row>
    <row r="315" ht="15.75" customHeight="1">
      <c r="A315" s="2" t="s">
        <v>39</v>
      </c>
      <c r="B315" s="3" t="str">
        <f>HYPERLINK("https://www.senado.gob.ar/parlamentario/comisiones/verExp/1174.25/S/PL","1174")</f>
        <v>1174</v>
      </c>
      <c r="C315" s="3" t="str">
        <f>HYPERLINK("https://www.senado.gob.ar/parlamentario/comisiones/verExp/1174.25/S/PL","2025")</f>
        <v>2025</v>
      </c>
      <c r="D315" s="2" t="s">
        <v>56</v>
      </c>
      <c r="E315" s="2" t="s">
        <v>742</v>
      </c>
      <c r="F315" s="2" t="s">
        <v>736</v>
      </c>
      <c r="I315" s="2" t="s">
        <v>740</v>
      </c>
      <c r="K315" s="2" t="s">
        <v>44</v>
      </c>
      <c r="L315" s="2" t="s">
        <v>730</v>
      </c>
      <c r="N315" s="2" t="s">
        <v>75</v>
      </c>
      <c r="O315" s="2">
        <v>78.0</v>
      </c>
      <c r="P315" s="2" t="s">
        <v>73</v>
      </c>
      <c r="Q315" s="2" t="s">
        <v>731</v>
      </c>
      <c r="S315" s="2">
        <v>70.0</v>
      </c>
      <c r="T315" s="2" t="s">
        <v>166</v>
      </c>
      <c r="U315" s="2" t="s">
        <v>731</v>
      </c>
      <c r="AI315" s="2" t="str">
        <f t="shared" si="5"/>
        <v/>
      </c>
      <c r="AJ315" s="2" t="s">
        <v>49</v>
      </c>
      <c r="AK315" s="2" t="s">
        <v>50</v>
      </c>
    </row>
    <row r="316" ht="15.75" customHeight="1">
      <c r="A316" s="2" t="s">
        <v>39</v>
      </c>
      <c r="B316" s="3" t="str">
        <f>HYPERLINK("https://www.senado.gob.ar/parlamentario/comisiones/verExp/1165.25/S/PL","1165")</f>
        <v>1165</v>
      </c>
      <c r="C316" s="3" t="str">
        <f>HYPERLINK("https://www.senado.gob.ar/parlamentario/comisiones/verExp/1165.25/S/PL","2025")</f>
        <v>2025</v>
      </c>
      <c r="D316" s="2" t="s">
        <v>56</v>
      </c>
      <c r="E316" s="2" t="s">
        <v>743</v>
      </c>
      <c r="F316" s="2" t="s">
        <v>736</v>
      </c>
      <c r="I316" s="2" t="s">
        <v>744</v>
      </c>
      <c r="K316" s="2" t="s">
        <v>44</v>
      </c>
      <c r="L316" s="2" t="s">
        <v>730</v>
      </c>
      <c r="N316" s="2" t="s">
        <v>226</v>
      </c>
      <c r="O316" s="2">
        <v>54.0</v>
      </c>
      <c r="P316" s="2" t="s">
        <v>65</v>
      </c>
      <c r="Q316" s="2" t="s">
        <v>731</v>
      </c>
      <c r="S316" s="2">
        <v>60.0</v>
      </c>
      <c r="T316" s="2" t="s">
        <v>64</v>
      </c>
      <c r="U316" s="2" t="s">
        <v>731</v>
      </c>
      <c r="W316" s="2">
        <v>62.0</v>
      </c>
      <c r="X316" s="2" t="s">
        <v>205</v>
      </c>
      <c r="Y316" s="2" t="s">
        <v>731</v>
      </c>
      <c r="AI316" s="2" t="str">
        <f t="shared" si="5"/>
        <v/>
      </c>
      <c r="AJ316" s="2" t="s">
        <v>49</v>
      </c>
      <c r="AK316" s="2" t="s">
        <v>50</v>
      </c>
    </row>
    <row r="317" ht="15.75" customHeight="1">
      <c r="A317" s="2" t="s">
        <v>39</v>
      </c>
      <c r="B317" s="3" t="str">
        <f>HYPERLINK("https://www.senado.gob.ar/parlamentario/comisiones/verExp/1158.25/S/PR","1158")</f>
        <v>1158</v>
      </c>
      <c r="C317" s="3" t="str">
        <f>HYPERLINK("https://www.senado.gob.ar/parlamentario/comisiones/verExp/1158.25/S/PR","2025")</f>
        <v>2025</v>
      </c>
      <c r="D317" s="2" t="s">
        <v>145</v>
      </c>
      <c r="E317" s="2" t="s">
        <v>745</v>
      </c>
      <c r="F317" s="2" t="s">
        <v>746</v>
      </c>
      <c r="I317" s="2" t="s">
        <v>744</v>
      </c>
      <c r="K317" s="2" t="s">
        <v>44</v>
      </c>
      <c r="L317" s="2" t="s">
        <v>730</v>
      </c>
      <c r="N317" s="2" t="s">
        <v>747</v>
      </c>
      <c r="O317" s="2">
        <v>50.0</v>
      </c>
      <c r="P317" s="2" t="s">
        <v>47</v>
      </c>
      <c r="Q317" s="2" t="s">
        <v>731</v>
      </c>
      <c r="AI317" s="2" t="str">
        <f t="shared" si="5"/>
        <v/>
      </c>
      <c r="AJ317" s="2" t="s">
        <v>49</v>
      </c>
      <c r="AK317" s="2" t="s">
        <v>50</v>
      </c>
    </row>
    <row r="318" ht="15.75" customHeight="1">
      <c r="A318" s="2" t="s">
        <v>39</v>
      </c>
      <c r="B318" s="3" t="str">
        <f>HYPERLINK("https://www.senado.gob.ar/parlamentario/comisiones/verExp/1156.25/S/PL","1156")</f>
        <v>1156</v>
      </c>
      <c r="C318" s="3" t="str">
        <f>HYPERLINK("https://www.senado.gob.ar/parlamentario/comisiones/verExp/1156.25/S/PL","2025")</f>
        <v>2025</v>
      </c>
      <c r="D318" s="2" t="s">
        <v>56</v>
      </c>
      <c r="E318" s="2" t="s">
        <v>748</v>
      </c>
      <c r="F318" s="2" t="s">
        <v>746</v>
      </c>
      <c r="I318" s="2" t="s">
        <v>744</v>
      </c>
      <c r="K318" s="2" t="s">
        <v>44</v>
      </c>
      <c r="L318" s="2" t="s">
        <v>730</v>
      </c>
      <c r="N318" s="2" t="s">
        <v>662</v>
      </c>
      <c r="O318" s="2">
        <v>76.0</v>
      </c>
      <c r="P318" s="2" t="s">
        <v>233</v>
      </c>
      <c r="Q318" s="2" t="s">
        <v>731</v>
      </c>
      <c r="S318" s="2">
        <v>52.0</v>
      </c>
      <c r="T318" s="2" t="s">
        <v>78</v>
      </c>
      <c r="U318" s="2" t="s">
        <v>731</v>
      </c>
      <c r="AI318" s="2" t="str">
        <f t="shared" si="5"/>
        <v/>
      </c>
      <c r="AJ318" s="2" t="s">
        <v>49</v>
      </c>
      <c r="AK318" s="2" t="s">
        <v>50</v>
      </c>
    </row>
    <row r="319" ht="15.75" customHeight="1">
      <c r="A319" s="2" t="s">
        <v>39</v>
      </c>
      <c r="B319" s="3" t="str">
        <f>HYPERLINK("https://www.senado.gob.ar/parlamentario/comisiones/verExp/1155.25/S/PL","1155")</f>
        <v>1155</v>
      </c>
      <c r="C319" s="3" t="str">
        <f>HYPERLINK("https://www.senado.gob.ar/parlamentario/comisiones/verExp/1155.25/S/PL","2025")</f>
        <v>2025</v>
      </c>
      <c r="D319" s="2" t="s">
        <v>56</v>
      </c>
      <c r="E319" s="2" t="s">
        <v>749</v>
      </c>
      <c r="F319" s="2" t="s">
        <v>746</v>
      </c>
      <c r="I319" s="2" t="s">
        <v>744</v>
      </c>
      <c r="K319" s="2" t="s">
        <v>44</v>
      </c>
      <c r="L319" s="2" t="s">
        <v>730</v>
      </c>
      <c r="N319" s="2" t="s">
        <v>568</v>
      </c>
      <c r="O319" s="2">
        <v>75.0</v>
      </c>
      <c r="P319" s="2" t="s">
        <v>71</v>
      </c>
      <c r="Q319" s="2" t="s">
        <v>731</v>
      </c>
      <c r="S319" s="2">
        <v>68.0</v>
      </c>
      <c r="T319" s="2" t="s">
        <v>180</v>
      </c>
      <c r="U319" s="2" t="s">
        <v>731</v>
      </c>
      <c r="AI319" s="2" t="str">
        <f t="shared" si="5"/>
        <v/>
      </c>
      <c r="AJ319" s="2" t="s">
        <v>49</v>
      </c>
      <c r="AK319" s="2" t="s">
        <v>50</v>
      </c>
    </row>
    <row r="320" ht="15.75" customHeight="1">
      <c r="A320" s="2" t="s">
        <v>39</v>
      </c>
      <c r="B320" s="3" t="str">
        <f>HYPERLINK("https://www.senado.gob.ar/parlamentario/comisiones/verExp/1153.25/S/PL","1153")</f>
        <v>1153</v>
      </c>
      <c r="C320" s="3" t="str">
        <f>HYPERLINK("https://www.senado.gob.ar/parlamentario/comisiones/verExp/1153.25/S/PL","2025")</f>
        <v>2025</v>
      </c>
      <c r="D320" s="2" t="s">
        <v>56</v>
      </c>
      <c r="E320" s="2" t="s">
        <v>750</v>
      </c>
      <c r="F320" s="2" t="s">
        <v>746</v>
      </c>
      <c r="I320" s="2" t="s">
        <v>744</v>
      </c>
      <c r="K320" s="2" t="s">
        <v>44</v>
      </c>
      <c r="L320" s="2" t="s">
        <v>730</v>
      </c>
      <c r="N320" s="2" t="s">
        <v>156</v>
      </c>
      <c r="O320" s="2">
        <v>61.0</v>
      </c>
      <c r="P320" s="2" t="s">
        <v>104</v>
      </c>
      <c r="Q320" s="2" t="s">
        <v>731</v>
      </c>
      <c r="AI320" s="2" t="str">
        <f t="shared" si="5"/>
        <v/>
      </c>
      <c r="AJ320" s="2" t="s">
        <v>49</v>
      </c>
      <c r="AK320" s="2" t="s">
        <v>50</v>
      </c>
    </row>
    <row r="321" ht="15.75" customHeight="1">
      <c r="A321" s="2" t="s">
        <v>39</v>
      </c>
      <c r="B321" s="3" t="str">
        <f>HYPERLINK("https://www.senado.gob.ar/parlamentario/comisiones/verExp/1150.25/S/PR","1150")</f>
        <v>1150</v>
      </c>
      <c r="C321" s="3" t="str">
        <f>HYPERLINK("https://www.senado.gob.ar/parlamentario/comisiones/verExp/1150.25/S/PR","2025")</f>
        <v>2025</v>
      </c>
      <c r="D321" s="2" t="s">
        <v>145</v>
      </c>
      <c r="E321" s="2" t="s">
        <v>751</v>
      </c>
      <c r="F321" s="2" t="s">
        <v>746</v>
      </c>
      <c r="I321" s="2" t="s">
        <v>744</v>
      </c>
      <c r="K321" s="2" t="s">
        <v>44</v>
      </c>
      <c r="L321" s="2" t="s">
        <v>730</v>
      </c>
      <c r="N321" s="2" t="s">
        <v>752</v>
      </c>
      <c r="O321" s="2">
        <v>50.0</v>
      </c>
      <c r="P321" s="2" t="s">
        <v>47</v>
      </c>
      <c r="Q321" s="2" t="s">
        <v>731</v>
      </c>
      <c r="AI321" s="2" t="str">
        <f t="shared" si="5"/>
        <v/>
      </c>
      <c r="AJ321" s="2" t="s">
        <v>49</v>
      </c>
      <c r="AK321" s="2" t="s">
        <v>50</v>
      </c>
    </row>
    <row r="322" ht="15.75" customHeight="1">
      <c r="A322" s="2" t="s">
        <v>39</v>
      </c>
      <c r="B322" s="3" t="str">
        <f>HYPERLINK("https://www.senado.gob.ar/parlamentario/comisiones/verExp/1146.25/S/PL","1146")</f>
        <v>1146</v>
      </c>
      <c r="C322" s="3" t="str">
        <f>HYPERLINK("https://www.senado.gob.ar/parlamentario/comisiones/verExp/1146.25/S/PL","2025")</f>
        <v>2025</v>
      </c>
      <c r="D322" s="2" t="s">
        <v>56</v>
      </c>
      <c r="E322" s="2" t="s">
        <v>753</v>
      </c>
      <c r="F322" s="2" t="s">
        <v>746</v>
      </c>
      <c r="I322" s="2" t="s">
        <v>744</v>
      </c>
      <c r="K322" s="2" t="s">
        <v>44</v>
      </c>
      <c r="L322" s="2" t="s">
        <v>730</v>
      </c>
      <c r="N322" s="2" t="s">
        <v>754</v>
      </c>
      <c r="O322" s="2">
        <v>67.0</v>
      </c>
      <c r="P322" s="2" t="s">
        <v>84</v>
      </c>
      <c r="Q322" s="2" t="s">
        <v>731</v>
      </c>
      <c r="S322" s="2">
        <v>54.0</v>
      </c>
      <c r="T322" s="2" t="s">
        <v>65</v>
      </c>
      <c r="U322" s="2" t="s">
        <v>731</v>
      </c>
      <c r="AI322" s="2" t="str">
        <f t="shared" si="5"/>
        <v/>
      </c>
      <c r="AJ322" s="2" t="s">
        <v>49</v>
      </c>
      <c r="AK322" s="2" t="s">
        <v>50</v>
      </c>
    </row>
    <row r="323" ht="15.75" customHeight="1">
      <c r="A323" s="2" t="s">
        <v>39</v>
      </c>
      <c r="B323" s="3" t="str">
        <f>HYPERLINK("https://www.senado.gob.ar/parlamentario/comisiones/verExp/1143.25/S/PL","1143")</f>
        <v>1143</v>
      </c>
      <c r="C323" s="3" t="str">
        <f>HYPERLINK("https://www.senado.gob.ar/parlamentario/comisiones/verExp/1143.25/S/PL","2025")</f>
        <v>2025</v>
      </c>
      <c r="D323" s="2" t="s">
        <v>56</v>
      </c>
      <c r="E323" s="2" t="s">
        <v>755</v>
      </c>
      <c r="F323" s="2" t="s">
        <v>746</v>
      </c>
      <c r="I323" s="2" t="s">
        <v>756</v>
      </c>
      <c r="K323" s="2" t="s">
        <v>44</v>
      </c>
      <c r="L323" s="2" t="s">
        <v>590</v>
      </c>
      <c r="N323" s="2" t="s">
        <v>757</v>
      </c>
      <c r="O323" s="2">
        <v>53.0</v>
      </c>
      <c r="P323" s="2" t="s">
        <v>76</v>
      </c>
      <c r="Q323" s="2" t="s">
        <v>604</v>
      </c>
      <c r="S323" s="2">
        <v>78.0</v>
      </c>
      <c r="T323" s="2" t="s">
        <v>73</v>
      </c>
      <c r="U323" s="2" t="s">
        <v>604</v>
      </c>
      <c r="AI323" s="2" t="str">
        <f t="shared" si="5"/>
        <v/>
      </c>
      <c r="AJ323" s="2" t="s">
        <v>49</v>
      </c>
      <c r="AK323" s="2" t="s">
        <v>50</v>
      </c>
    </row>
    <row r="324" ht="15.75" customHeight="1">
      <c r="A324" s="2" t="s">
        <v>39</v>
      </c>
      <c r="B324" s="3" t="str">
        <f>HYPERLINK("https://www.senado.gob.ar/parlamentario/comisiones/verExp/1135.25/S/PL","1135")</f>
        <v>1135</v>
      </c>
      <c r="C324" s="3" t="str">
        <f>HYPERLINK("https://www.senado.gob.ar/parlamentario/comisiones/verExp/1135.25/S/PL","2025")</f>
        <v>2025</v>
      </c>
      <c r="D324" s="2" t="s">
        <v>56</v>
      </c>
      <c r="E324" s="2" t="s">
        <v>758</v>
      </c>
      <c r="F324" s="2" t="s">
        <v>759</v>
      </c>
      <c r="I324" s="2" t="s">
        <v>760</v>
      </c>
      <c r="K324" s="2" t="s">
        <v>44</v>
      </c>
      <c r="L324" s="2" t="s">
        <v>730</v>
      </c>
      <c r="N324" s="2" t="s">
        <v>156</v>
      </c>
      <c r="O324" s="2">
        <v>58.0</v>
      </c>
      <c r="P324" s="2" t="s">
        <v>194</v>
      </c>
      <c r="Q324" s="2" t="s">
        <v>731</v>
      </c>
      <c r="S324" s="2">
        <v>64.0</v>
      </c>
      <c r="T324" s="2" t="s">
        <v>186</v>
      </c>
      <c r="U324" s="2" t="s">
        <v>731</v>
      </c>
      <c r="AI324" s="2" t="str">
        <f t="shared" si="5"/>
        <v/>
      </c>
      <c r="AJ324" s="2" t="s">
        <v>49</v>
      </c>
      <c r="AK324" s="2" t="s">
        <v>50</v>
      </c>
    </row>
    <row r="325" ht="15.75" customHeight="1">
      <c r="A325" s="2" t="s">
        <v>39</v>
      </c>
      <c r="B325" s="3" t="str">
        <f>HYPERLINK("https://www.senado.gob.ar/parlamentario/comisiones/verExp/1132.25/S/PL","1132")</f>
        <v>1132</v>
      </c>
      <c r="C325" s="3" t="str">
        <f>HYPERLINK("https://www.senado.gob.ar/parlamentario/comisiones/verExp/1132.25/S/PL","2025")</f>
        <v>2025</v>
      </c>
      <c r="D325" s="2" t="s">
        <v>56</v>
      </c>
      <c r="E325" s="2" t="s">
        <v>761</v>
      </c>
      <c r="F325" s="2" t="s">
        <v>759</v>
      </c>
      <c r="I325" s="2" t="s">
        <v>760</v>
      </c>
      <c r="K325" s="2" t="s">
        <v>44</v>
      </c>
      <c r="L325" s="2" t="s">
        <v>730</v>
      </c>
      <c r="N325" s="2" t="s">
        <v>762</v>
      </c>
      <c r="O325" s="2">
        <v>65.0</v>
      </c>
      <c r="P325" s="2" t="s">
        <v>153</v>
      </c>
      <c r="Q325" s="2" t="s">
        <v>731</v>
      </c>
      <c r="S325" s="2">
        <v>54.0</v>
      </c>
      <c r="T325" s="2" t="s">
        <v>65</v>
      </c>
      <c r="U325" s="2" t="s">
        <v>731</v>
      </c>
      <c r="AI325" s="2" t="str">
        <f t="shared" si="5"/>
        <v/>
      </c>
      <c r="AJ325" s="2" t="s">
        <v>49</v>
      </c>
      <c r="AK325" s="2" t="s">
        <v>50</v>
      </c>
    </row>
    <row r="326" ht="15.75" customHeight="1">
      <c r="A326" s="2" t="s">
        <v>39</v>
      </c>
      <c r="B326" s="3" t="str">
        <f>HYPERLINK("https://www.senado.gob.ar/parlamentario/comisiones/verExp/1121.25/S/PL","1121")</f>
        <v>1121</v>
      </c>
      <c r="C326" s="3" t="str">
        <f>HYPERLINK("https://www.senado.gob.ar/parlamentario/comisiones/verExp/1121.25/S/PL","2025")</f>
        <v>2025</v>
      </c>
      <c r="D326" s="2" t="s">
        <v>56</v>
      </c>
      <c r="E326" s="2" t="s">
        <v>763</v>
      </c>
      <c r="F326" s="2" t="s">
        <v>764</v>
      </c>
      <c r="I326" s="2" t="s">
        <v>765</v>
      </c>
      <c r="K326" s="2" t="s">
        <v>44</v>
      </c>
      <c r="L326" s="2" t="s">
        <v>760</v>
      </c>
      <c r="N326" s="2" t="s">
        <v>377</v>
      </c>
      <c r="O326" s="2">
        <v>61.0</v>
      </c>
      <c r="P326" s="2" t="s">
        <v>104</v>
      </c>
      <c r="Q326" s="2" t="s">
        <v>766</v>
      </c>
      <c r="S326" s="2">
        <v>76.0</v>
      </c>
      <c r="T326" s="2" t="s">
        <v>233</v>
      </c>
      <c r="U326" s="2" t="s">
        <v>766</v>
      </c>
      <c r="AI326" s="2" t="str">
        <f t="shared" si="5"/>
        <v/>
      </c>
      <c r="AJ326" s="2" t="s">
        <v>49</v>
      </c>
      <c r="AK326" s="2" t="s">
        <v>50</v>
      </c>
    </row>
    <row r="327" ht="15.75" customHeight="1">
      <c r="A327" s="2" t="s">
        <v>39</v>
      </c>
      <c r="B327" s="3" t="str">
        <f>HYPERLINK("https://www.senado.gob.ar/parlamentario/comisiones/verExp/1119.25/S/PL","1119")</f>
        <v>1119</v>
      </c>
      <c r="C327" s="3" t="str">
        <f>HYPERLINK("https://www.senado.gob.ar/parlamentario/comisiones/verExp/1119.25/S/PL","2025")</f>
        <v>2025</v>
      </c>
      <c r="D327" s="2" t="s">
        <v>56</v>
      </c>
      <c r="E327" s="2" t="s">
        <v>767</v>
      </c>
      <c r="F327" s="2" t="s">
        <v>764</v>
      </c>
      <c r="I327" s="2" t="s">
        <v>765</v>
      </c>
      <c r="K327" s="2" t="s">
        <v>44</v>
      </c>
      <c r="L327" s="2" t="s">
        <v>760</v>
      </c>
      <c r="N327" s="2" t="s">
        <v>768</v>
      </c>
      <c r="O327" s="2">
        <v>68.0</v>
      </c>
      <c r="P327" s="2" t="s">
        <v>180</v>
      </c>
      <c r="Q327" s="2" t="s">
        <v>766</v>
      </c>
      <c r="S327" s="2">
        <v>67.0</v>
      </c>
      <c r="T327" s="2" t="s">
        <v>84</v>
      </c>
      <c r="U327" s="2" t="s">
        <v>766</v>
      </c>
      <c r="AI327" s="2" t="str">
        <f t="shared" si="5"/>
        <v/>
      </c>
      <c r="AJ327" s="2" t="s">
        <v>49</v>
      </c>
      <c r="AK327" s="2" t="s">
        <v>50</v>
      </c>
    </row>
    <row r="328" ht="15.75" customHeight="1">
      <c r="A328" s="2" t="s">
        <v>39</v>
      </c>
      <c r="B328" s="3" t="str">
        <f>HYPERLINK("https://www.senado.gob.ar/parlamentario/comisiones/verExp/1117.25/S/PL","1117")</f>
        <v>1117</v>
      </c>
      <c r="C328" s="3" t="str">
        <f>HYPERLINK("https://www.senado.gob.ar/parlamentario/comisiones/verExp/1117.25/S/PL","2025")</f>
        <v>2025</v>
      </c>
      <c r="D328" s="2" t="s">
        <v>56</v>
      </c>
      <c r="E328" s="2" t="s">
        <v>769</v>
      </c>
      <c r="F328" s="2" t="s">
        <v>764</v>
      </c>
      <c r="I328" s="2" t="s">
        <v>765</v>
      </c>
      <c r="K328" s="2" t="s">
        <v>44</v>
      </c>
      <c r="L328" s="2" t="s">
        <v>760</v>
      </c>
      <c r="N328" s="2" t="s">
        <v>316</v>
      </c>
      <c r="O328" s="2">
        <v>67.0</v>
      </c>
      <c r="P328" s="2" t="s">
        <v>84</v>
      </c>
      <c r="Q328" s="2" t="s">
        <v>766</v>
      </c>
      <c r="AI328" s="2" t="str">
        <f t="shared" si="5"/>
        <v/>
      </c>
      <c r="AJ328" s="2" t="s">
        <v>49</v>
      </c>
      <c r="AK328" s="2" t="s">
        <v>50</v>
      </c>
    </row>
    <row r="329" ht="15.75" customHeight="1">
      <c r="A329" s="2" t="s">
        <v>39</v>
      </c>
      <c r="B329" s="3" t="str">
        <f>HYPERLINK("https://www.senado.gob.ar/parlamentario/comisiones/verExp/1116.25/S/PL","1116")</f>
        <v>1116</v>
      </c>
      <c r="C329" s="3" t="str">
        <f>HYPERLINK("https://www.senado.gob.ar/parlamentario/comisiones/verExp/1116.25/S/PL","2025")</f>
        <v>2025</v>
      </c>
      <c r="D329" s="2" t="s">
        <v>56</v>
      </c>
      <c r="E329" s="2" t="s">
        <v>770</v>
      </c>
      <c r="F329" s="2" t="s">
        <v>764</v>
      </c>
      <c r="I329" s="2" t="s">
        <v>765</v>
      </c>
      <c r="K329" s="2" t="s">
        <v>44</v>
      </c>
      <c r="L329" s="2" t="s">
        <v>760</v>
      </c>
      <c r="N329" s="2" t="s">
        <v>316</v>
      </c>
      <c r="O329" s="2">
        <v>78.0</v>
      </c>
      <c r="P329" s="2" t="s">
        <v>73</v>
      </c>
      <c r="Q329" s="2" t="s">
        <v>766</v>
      </c>
      <c r="S329" s="2">
        <v>53.0</v>
      </c>
      <c r="T329" s="2" t="s">
        <v>76</v>
      </c>
      <c r="U329" s="2" t="s">
        <v>766</v>
      </c>
      <c r="W329" s="2">
        <v>52.0</v>
      </c>
      <c r="X329" s="2" t="s">
        <v>78</v>
      </c>
      <c r="Y329" s="2" t="s">
        <v>766</v>
      </c>
      <c r="AI329" s="2" t="str">
        <f t="shared" si="5"/>
        <v/>
      </c>
      <c r="AJ329" s="2" t="s">
        <v>49</v>
      </c>
      <c r="AK329" s="2" t="s">
        <v>50</v>
      </c>
    </row>
    <row r="330" ht="15.75" customHeight="1">
      <c r="A330" s="2" t="s">
        <v>39</v>
      </c>
      <c r="B330" s="3" t="str">
        <f>HYPERLINK("https://www.senado.gob.ar/parlamentario/comisiones/verExp/1115.25/S/PL","1115")</f>
        <v>1115</v>
      </c>
      <c r="C330" s="3" t="str">
        <f>HYPERLINK("https://www.senado.gob.ar/parlamentario/comisiones/verExp/1115.25/S/PL","2025")</f>
        <v>2025</v>
      </c>
      <c r="D330" s="2" t="s">
        <v>56</v>
      </c>
      <c r="E330" s="2" t="s">
        <v>771</v>
      </c>
      <c r="F330" s="2" t="s">
        <v>764</v>
      </c>
      <c r="I330" s="2" t="s">
        <v>765</v>
      </c>
      <c r="K330" s="2" t="s">
        <v>44</v>
      </c>
      <c r="L330" s="2" t="s">
        <v>760</v>
      </c>
      <c r="N330" s="2" t="s">
        <v>160</v>
      </c>
      <c r="O330" s="2">
        <v>78.0</v>
      </c>
      <c r="P330" s="2" t="s">
        <v>73</v>
      </c>
      <c r="Q330" s="2" t="s">
        <v>766</v>
      </c>
      <c r="S330" s="2">
        <v>53.0</v>
      </c>
      <c r="T330" s="2" t="s">
        <v>76</v>
      </c>
      <c r="U330" s="2" t="s">
        <v>766</v>
      </c>
      <c r="AI330" s="2" t="str">
        <f t="shared" si="5"/>
        <v/>
      </c>
      <c r="AJ330" s="2" t="s">
        <v>49</v>
      </c>
      <c r="AK330" s="2" t="s">
        <v>50</v>
      </c>
    </row>
    <row r="331" ht="15.75" customHeight="1">
      <c r="A331" s="2" t="s">
        <v>39</v>
      </c>
      <c r="B331" s="3" t="str">
        <f>HYPERLINK("https://www.senado.gob.ar/parlamentario/comisiones/verExp/1102.25/S/PL","1102")</f>
        <v>1102</v>
      </c>
      <c r="C331" s="3" t="str">
        <f>HYPERLINK("https://www.senado.gob.ar/parlamentario/comisiones/verExp/1102.25/S/PL","2025")</f>
        <v>2025</v>
      </c>
      <c r="D331" s="2" t="s">
        <v>56</v>
      </c>
      <c r="E331" s="2" t="s">
        <v>772</v>
      </c>
      <c r="F331" s="2" t="s">
        <v>773</v>
      </c>
      <c r="I331" s="2" t="s">
        <v>774</v>
      </c>
      <c r="K331" s="2" t="s">
        <v>44</v>
      </c>
      <c r="L331" s="2" t="s">
        <v>760</v>
      </c>
      <c r="N331" s="2" t="s">
        <v>160</v>
      </c>
      <c r="O331" s="2">
        <v>53.0</v>
      </c>
      <c r="P331" s="2" t="s">
        <v>76</v>
      </c>
      <c r="Q331" s="2" t="s">
        <v>766</v>
      </c>
      <c r="S331" s="2">
        <v>78.0</v>
      </c>
      <c r="T331" s="2" t="s">
        <v>73</v>
      </c>
      <c r="U331" s="2" t="s">
        <v>766</v>
      </c>
      <c r="AI331" s="2" t="str">
        <f t="shared" si="5"/>
        <v/>
      </c>
      <c r="AJ331" s="2" t="s">
        <v>49</v>
      </c>
      <c r="AK331" s="2" t="s">
        <v>50</v>
      </c>
    </row>
    <row r="332" ht="15.75" customHeight="1">
      <c r="A332" s="2" t="s">
        <v>39</v>
      </c>
      <c r="B332" s="3" t="str">
        <f>HYPERLINK("https://www.senado.gob.ar/parlamentario/comisiones/verExp/1099.25/S/PL","1099")</f>
        <v>1099</v>
      </c>
      <c r="C332" s="3" t="str">
        <f>HYPERLINK("https://www.senado.gob.ar/parlamentario/comisiones/verExp/1099.25/S/PL","2025")</f>
        <v>2025</v>
      </c>
      <c r="D332" s="2" t="s">
        <v>56</v>
      </c>
      <c r="E332" s="2" t="s">
        <v>775</v>
      </c>
      <c r="F332" s="2" t="s">
        <v>773</v>
      </c>
      <c r="I332" s="2" t="s">
        <v>776</v>
      </c>
      <c r="K332" s="2" t="s">
        <v>44</v>
      </c>
      <c r="L332" s="2" t="s">
        <v>760</v>
      </c>
      <c r="N332" s="2" t="s">
        <v>168</v>
      </c>
      <c r="O332" s="2">
        <v>75.0</v>
      </c>
      <c r="P332" s="2" t="s">
        <v>71</v>
      </c>
      <c r="Q332" s="2" t="s">
        <v>766</v>
      </c>
      <c r="S332" s="2">
        <v>74.0</v>
      </c>
      <c r="T332" s="2" t="s">
        <v>256</v>
      </c>
      <c r="U332" s="2" t="s">
        <v>766</v>
      </c>
      <c r="W332" s="2">
        <v>54.0</v>
      </c>
      <c r="X332" s="2" t="s">
        <v>65</v>
      </c>
      <c r="Y332" s="2" t="s">
        <v>766</v>
      </c>
      <c r="AI332" s="2" t="str">
        <f t="shared" si="5"/>
        <v/>
      </c>
      <c r="AJ332" s="2" t="s">
        <v>49</v>
      </c>
      <c r="AK332" s="2" t="s">
        <v>50</v>
      </c>
    </row>
    <row r="333" ht="15.75" customHeight="1">
      <c r="A333" s="2" t="s">
        <v>39</v>
      </c>
      <c r="B333" s="3" t="str">
        <f>HYPERLINK("https://www.senado.gob.ar/parlamentario/comisiones/verExp/1093.25/S/PL","1093")</f>
        <v>1093</v>
      </c>
      <c r="C333" s="3" t="str">
        <f>HYPERLINK("https://www.senado.gob.ar/parlamentario/comisiones/verExp/1093.25/S/PL","2025")</f>
        <v>2025</v>
      </c>
      <c r="D333" s="2" t="s">
        <v>56</v>
      </c>
      <c r="E333" s="2" t="s">
        <v>777</v>
      </c>
      <c r="F333" s="2" t="s">
        <v>773</v>
      </c>
      <c r="I333" s="2" t="s">
        <v>776</v>
      </c>
      <c r="K333" s="2" t="s">
        <v>44</v>
      </c>
      <c r="L333" s="2" t="s">
        <v>760</v>
      </c>
      <c r="N333" s="2" t="s">
        <v>778</v>
      </c>
      <c r="O333" s="2">
        <v>53.0</v>
      </c>
      <c r="P333" s="2" t="s">
        <v>76</v>
      </c>
      <c r="Q333" s="2" t="s">
        <v>766</v>
      </c>
      <c r="S333" s="2">
        <v>54.0</v>
      </c>
      <c r="T333" s="2" t="s">
        <v>65</v>
      </c>
      <c r="U333" s="2" t="s">
        <v>766</v>
      </c>
      <c r="W333" s="2">
        <v>67.0</v>
      </c>
      <c r="X333" s="2" t="s">
        <v>84</v>
      </c>
      <c r="Y333" s="2" t="s">
        <v>766</v>
      </c>
      <c r="AI333" s="2" t="str">
        <f t="shared" si="5"/>
        <v/>
      </c>
      <c r="AJ333" s="2" t="s">
        <v>49</v>
      </c>
      <c r="AK333" s="2" t="s">
        <v>50</v>
      </c>
    </row>
    <row r="334" ht="15.75" customHeight="1">
      <c r="A334" s="2" t="s">
        <v>39</v>
      </c>
      <c r="B334" s="3" t="str">
        <f>HYPERLINK("https://www.senado.gob.ar/parlamentario/comisiones/verExp/1084.25/S/PL","1084")</f>
        <v>1084</v>
      </c>
      <c r="C334" s="3" t="str">
        <f>HYPERLINK("https://www.senado.gob.ar/parlamentario/comisiones/verExp/1084.25/S/PL","2025")</f>
        <v>2025</v>
      </c>
      <c r="D334" s="2" t="s">
        <v>56</v>
      </c>
      <c r="E334" s="2" t="s">
        <v>779</v>
      </c>
      <c r="F334" s="2" t="s">
        <v>780</v>
      </c>
      <c r="I334" s="2" t="s">
        <v>776</v>
      </c>
      <c r="K334" s="2" t="s">
        <v>44</v>
      </c>
      <c r="L334" s="2" t="s">
        <v>760</v>
      </c>
      <c r="N334" s="2" t="s">
        <v>75</v>
      </c>
      <c r="O334" s="2">
        <v>75.0</v>
      </c>
      <c r="P334" s="2" t="s">
        <v>71</v>
      </c>
      <c r="Q334" s="2" t="s">
        <v>766</v>
      </c>
      <c r="S334" s="2">
        <v>54.0</v>
      </c>
      <c r="T334" s="2" t="s">
        <v>65</v>
      </c>
      <c r="U334" s="2" t="s">
        <v>766</v>
      </c>
      <c r="AI334" s="2" t="str">
        <f t="shared" si="5"/>
        <v/>
      </c>
      <c r="AJ334" s="2" t="s">
        <v>49</v>
      </c>
      <c r="AK334" s="2" t="s">
        <v>50</v>
      </c>
    </row>
    <row r="335" ht="15.75" customHeight="1">
      <c r="A335" s="2" t="s">
        <v>39</v>
      </c>
      <c r="B335" s="3" t="str">
        <f>HYPERLINK("https://www.senado.gob.ar/parlamentario/comisiones/verExp/1066.25/S/PL","1066")</f>
        <v>1066</v>
      </c>
      <c r="C335" s="3" t="str">
        <f>HYPERLINK("https://www.senado.gob.ar/parlamentario/comisiones/verExp/1066.25/S/PL","2025")</f>
        <v>2025</v>
      </c>
      <c r="D335" s="2" t="s">
        <v>56</v>
      </c>
      <c r="E335" s="2" t="s">
        <v>781</v>
      </c>
      <c r="F335" s="2" t="s">
        <v>782</v>
      </c>
      <c r="I335" s="2" t="s">
        <v>783</v>
      </c>
      <c r="K335" s="2" t="s">
        <v>44</v>
      </c>
      <c r="L335" s="2" t="s">
        <v>760</v>
      </c>
      <c r="N335" s="2" t="s">
        <v>496</v>
      </c>
      <c r="O335" s="2">
        <v>50.0</v>
      </c>
      <c r="P335" s="2" t="s">
        <v>47</v>
      </c>
      <c r="Q335" s="2" t="s">
        <v>766</v>
      </c>
      <c r="S335" s="2">
        <v>53.0</v>
      </c>
      <c r="T335" s="2" t="s">
        <v>76</v>
      </c>
      <c r="U335" s="2" t="s">
        <v>766</v>
      </c>
      <c r="W335" s="2">
        <v>54.0</v>
      </c>
      <c r="X335" s="2" t="s">
        <v>65</v>
      </c>
      <c r="Y335" s="2" t="s">
        <v>766</v>
      </c>
      <c r="AI335" s="2" t="str">
        <f t="shared" si="5"/>
        <v/>
      </c>
      <c r="AJ335" s="2" t="s">
        <v>49</v>
      </c>
      <c r="AK335" s="2" t="s">
        <v>50</v>
      </c>
    </row>
    <row r="336" ht="15.75" customHeight="1">
      <c r="A336" s="2" t="s">
        <v>39</v>
      </c>
      <c r="B336" s="3" t="str">
        <f>HYPERLINK("https://www.senado.gob.ar/parlamentario/comisiones/verExp/1065.25/S/PL","1065")</f>
        <v>1065</v>
      </c>
      <c r="C336" s="3" t="str">
        <f>HYPERLINK("https://www.senado.gob.ar/parlamentario/comisiones/verExp/1065.25/S/PL","2025")</f>
        <v>2025</v>
      </c>
      <c r="D336" s="2" t="s">
        <v>56</v>
      </c>
      <c r="E336" s="2" t="s">
        <v>784</v>
      </c>
      <c r="F336" s="2" t="s">
        <v>782</v>
      </c>
      <c r="I336" s="2" t="s">
        <v>783</v>
      </c>
      <c r="K336" s="2" t="s">
        <v>44</v>
      </c>
      <c r="L336" s="2" t="s">
        <v>760</v>
      </c>
      <c r="N336" s="2" t="s">
        <v>785</v>
      </c>
      <c r="O336" s="2">
        <v>50.0</v>
      </c>
      <c r="P336" s="2" t="s">
        <v>47</v>
      </c>
      <c r="Q336" s="2" t="s">
        <v>766</v>
      </c>
      <c r="S336" s="2">
        <v>52.0</v>
      </c>
      <c r="T336" s="2" t="s">
        <v>78</v>
      </c>
      <c r="U336" s="2" t="s">
        <v>766</v>
      </c>
      <c r="AI336" s="2" t="str">
        <f t="shared" si="5"/>
        <v/>
      </c>
      <c r="AJ336" s="2" t="s">
        <v>49</v>
      </c>
      <c r="AK336" s="2" t="s">
        <v>50</v>
      </c>
    </row>
    <row r="337" ht="15.75" customHeight="1">
      <c r="A337" s="2" t="s">
        <v>39</v>
      </c>
      <c r="B337" s="3" t="str">
        <f>HYPERLINK("https://www.senado.gob.ar/parlamentario/comisiones/verExp/1064.25/S/PL","1064")</f>
        <v>1064</v>
      </c>
      <c r="C337" s="3" t="str">
        <f>HYPERLINK("https://www.senado.gob.ar/parlamentario/comisiones/verExp/1064.25/S/PL","2025")</f>
        <v>2025</v>
      </c>
      <c r="D337" s="2" t="s">
        <v>56</v>
      </c>
      <c r="E337" s="2" t="s">
        <v>786</v>
      </c>
      <c r="F337" s="2" t="s">
        <v>782</v>
      </c>
      <c r="I337" s="2" t="s">
        <v>787</v>
      </c>
      <c r="K337" s="2" t="s">
        <v>44</v>
      </c>
      <c r="L337" s="2" t="s">
        <v>760</v>
      </c>
      <c r="N337" s="2" t="s">
        <v>465</v>
      </c>
      <c r="O337" s="2">
        <v>52.0</v>
      </c>
      <c r="P337" s="2" t="s">
        <v>78</v>
      </c>
      <c r="Q337" s="2" t="s">
        <v>766</v>
      </c>
      <c r="S337" s="2">
        <v>69.0</v>
      </c>
      <c r="T337" s="2" t="s">
        <v>135</v>
      </c>
      <c r="U337" s="2" t="s">
        <v>766</v>
      </c>
      <c r="AI337" s="2" t="str">
        <f t="shared" si="5"/>
        <v/>
      </c>
      <c r="AJ337" s="2" t="s">
        <v>49</v>
      </c>
      <c r="AK337" s="2" t="s">
        <v>50</v>
      </c>
    </row>
    <row r="338" ht="15.75" customHeight="1">
      <c r="A338" s="2" t="s">
        <v>39</v>
      </c>
      <c r="B338" s="3" t="str">
        <f>HYPERLINK("https://www.senado.gob.ar/parlamentario/comisiones/verExp/1063.25/S/PL","1063")</f>
        <v>1063</v>
      </c>
      <c r="C338" s="3" t="str">
        <f>HYPERLINK("https://www.senado.gob.ar/parlamentario/comisiones/verExp/1063.25/S/PL","2025")</f>
        <v>2025</v>
      </c>
      <c r="D338" s="2" t="s">
        <v>56</v>
      </c>
      <c r="E338" s="2" t="s">
        <v>788</v>
      </c>
      <c r="F338" s="2" t="s">
        <v>782</v>
      </c>
      <c r="I338" s="2" t="s">
        <v>787</v>
      </c>
      <c r="K338" s="2" t="s">
        <v>44</v>
      </c>
      <c r="L338" s="2" t="s">
        <v>760</v>
      </c>
      <c r="N338" s="2" t="s">
        <v>628</v>
      </c>
      <c r="O338" s="2">
        <v>69.0</v>
      </c>
      <c r="P338" s="2" t="s">
        <v>135</v>
      </c>
      <c r="Q338" s="2" t="s">
        <v>766</v>
      </c>
      <c r="S338" s="2">
        <v>54.0</v>
      </c>
      <c r="T338" s="2" t="s">
        <v>65</v>
      </c>
      <c r="U338" s="2" t="s">
        <v>766</v>
      </c>
      <c r="AI338" s="2" t="str">
        <f t="shared" si="5"/>
        <v/>
      </c>
      <c r="AJ338" s="2" t="s">
        <v>49</v>
      </c>
      <c r="AK338" s="2" t="s">
        <v>50</v>
      </c>
    </row>
    <row r="339" ht="15.75" customHeight="1">
      <c r="A339" s="2" t="s">
        <v>39</v>
      </c>
      <c r="B339" s="3" t="str">
        <f>HYPERLINK("https://www.senado.gob.ar/parlamentario/comisiones/verExp/1062.25/S/PL","1062")</f>
        <v>1062</v>
      </c>
      <c r="C339" s="3" t="str">
        <f>HYPERLINK("https://www.senado.gob.ar/parlamentario/comisiones/verExp/1062.25/S/PL","2025")</f>
        <v>2025</v>
      </c>
      <c r="D339" s="2" t="s">
        <v>56</v>
      </c>
      <c r="E339" s="2" t="s">
        <v>789</v>
      </c>
      <c r="F339" s="2" t="s">
        <v>782</v>
      </c>
      <c r="I339" s="2" t="s">
        <v>787</v>
      </c>
      <c r="K339" s="2" t="s">
        <v>44</v>
      </c>
      <c r="L339" s="2" t="s">
        <v>783</v>
      </c>
      <c r="N339" s="2" t="s">
        <v>669</v>
      </c>
      <c r="O339" s="2">
        <v>69.0</v>
      </c>
      <c r="P339" s="2" t="s">
        <v>135</v>
      </c>
      <c r="Q339" s="2" t="s">
        <v>790</v>
      </c>
      <c r="S339" s="2">
        <v>52.0</v>
      </c>
      <c r="T339" s="2" t="s">
        <v>78</v>
      </c>
      <c r="U339" s="2" t="s">
        <v>790</v>
      </c>
      <c r="AI339" s="2" t="str">
        <f t="shared" si="5"/>
        <v/>
      </c>
      <c r="AJ339" s="2" t="s">
        <v>49</v>
      </c>
      <c r="AK339" s="2" t="s">
        <v>50</v>
      </c>
    </row>
    <row r="340" ht="15.75" customHeight="1">
      <c r="A340" s="2" t="s">
        <v>39</v>
      </c>
      <c r="B340" s="3" t="str">
        <f>HYPERLINK("https://www.senado.gob.ar/parlamentario/comisiones/verExp/1061.25/S/PL","1061")</f>
        <v>1061</v>
      </c>
      <c r="C340" s="3" t="str">
        <f>HYPERLINK("https://www.senado.gob.ar/parlamentario/comisiones/verExp/1061.25/S/PL","2025")</f>
        <v>2025</v>
      </c>
      <c r="D340" s="2" t="s">
        <v>56</v>
      </c>
      <c r="E340" s="2" t="s">
        <v>791</v>
      </c>
      <c r="F340" s="2" t="s">
        <v>782</v>
      </c>
      <c r="I340" s="2" t="s">
        <v>787</v>
      </c>
      <c r="K340" s="2" t="s">
        <v>44</v>
      </c>
      <c r="L340" s="2" t="s">
        <v>783</v>
      </c>
      <c r="N340" s="2" t="s">
        <v>792</v>
      </c>
      <c r="O340" s="2">
        <v>58.0</v>
      </c>
      <c r="P340" s="2" t="s">
        <v>194</v>
      </c>
      <c r="Q340" s="2" t="s">
        <v>790</v>
      </c>
      <c r="S340" s="2">
        <v>64.0</v>
      </c>
      <c r="T340" s="2" t="s">
        <v>186</v>
      </c>
      <c r="U340" s="2" t="s">
        <v>790</v>
      </c>
      <c r="AI340" s="2" t="str">
        <f t="shared" si="5"/>
        <v/>
      </c>
      <c r="AJ340" s="2" t="s">
        <v>49</v>
      </c>
      <c r="AK340" s="2" t="s">
        <v>50</v>
      </c>
    </row>
    <row r="341" ht="15.75" customHeight="1">
      <c r="A341" s="2" t="s">
        <v>39</v>
      </c>
      <c r="B341" s="3" t="str">
        <f>HYPERLINK("https://www.senado.gob.ar/parlamentario/comisiones/verExp/1057.25/S/PL","1057")</f>
        <v>1057</v>
      </c>
      <c r="C341" s="3" t="str">
        <f>HYPERLINK("https://www.senado.gob.ar/parlamentario/comisiones/verExp/1057.25/S/PL","2025")</f>
        <v>2025</v>
      </c>
      <c r="D341" s="2" t="s">
        <v>56</v>
      </c>
      <c r="E341" s="2" t="s">
        <v>793</v>
      </c>
      <c r="F341" s="2" t="s">
        <v>782</v>
      </c>
      <c r="I341" s="2" t="s">
        <v>794</v>
      </c>
      <c r="K341" s="2" t="s">
        <v>44</v>
      </c>
      <c r="L341" s="2" t="s">
        <v>783</v>
      </c>
      <c r="N341" s="2" t="s">
        <v>795</v>
      </c>
      <c r="O341" s="2">
        <v>65.0</v>
      </c>
      <c r="P341" s="2" t="s">
        <v>153</v>
      </c>
      <c r="Q341" s="2" t="s">
        <v>790</v>
      </c>
      <c r="S341" s="2">
        <v>54.0</v>
      </c>
      <c r="T341" s="2" t="s">
        <v>65</v>
      </c>
      <c r="U341" s="2" t="s">
        <v>790</v>
      </c>
      <c r="AI341" s="2" t="str">
        <f t="shared" si="5"/>
        <v/>
      </c>
      <c r="AJ341" s="2" t="s">
        <v>49</v>
      </c>
      <c r="AK341" s="2" t="s">
        <v>50</v>
      </c>
    </row>
    <row r="342" ht="15.75" customHeight="1">
      <c r="A342" s="2" t="s">
        <v>39</v>
      </c>
      <c r="B342" s="3" t="str">
        <f>HYPERLINK("https://www.senado.gob.ar/parlamentario/comisiones/verExp/1049.25/S/PR","1049")</f>
        <v>1049</v>
      </c>
      <c r="C342" s="3" t="str">
        <f>HYPERLINK("https://www.senado.gob.ar/parlamentario/comisiones/verExp/1049.25/S/PR","2025")</f>
        <v>2025</v>
      </c>
      <c r="D342" s="2" t="s">
        <v>145</v>
      </c>
      <c r="E342" s="2" t="s">
        <v>796</v>
      </c>
      <c r="F342" s="2" t="s">
        <v>782</v>
      </c>
      <c r="I342" s="2" t="s">
        <v>794</v>
      </c>
      <c r="K342" s="2" t="s">
        <v>44</v>
      </c>
      <c r="L342" s="2" t="s">
        <v>794</v>
      </c>
      <c r="N342" s="2" t="s">
        <v>160</v>
      </c>
      <c r="O342" s="2">
        <v>75.0</v>
      </c>
      <c r="P342" s="2" t="s">
        <v>71</v>
      </c>
      <c r="Q342" s="2" t="s">
        <v>797</v>
      </c>
      <c r="S342" s="2">
        <v>54.0</v>
      </c>
      <c r="T342" s="2" t="s">
        <v>65</v>
      </c>
      <c r="U342" s="2" t="s">
        <v>797</v>
      </c>
      <c r="AI342" s="2" t="str">
        <f t="shared" si="5"/>
        <v/>
      </c>
      <c r="AJ342" s="2" t="s">
        <v>49</v>
      </c>
      <c r="AK342" s="2" t="s">
        <v>50</v>
      </c>
    </row>
    <row r="343" ht="15.75" customHeight="1">
      <c r="A343" s="2" t="s">
        <v>39</v>
      </c>
      <c r="B343" s="3" t="str">
        <f>HYPERLINK("https://www.senado.gob.ar/parlamentario/comisiones/verExp/1043.25/S/PL","1043")</f>
        <v>1043</v>
      </c>
      <c r="C343" s="3" t="str">
        <f>HYPERLINK("https://www.senado.gob.ar/parlamentario/comisiones/verExp/1043.25/S/PL","2025")</f>
        <v>2025</v>
      </c>
      <c r="D343" s="2" t="s">
        <v>56</v>
      </c>
      <c r="E343" s="2" t="s">
        <v>798</v>
      </c>
      <c r="F343" s="2" t="s">
        <v>799</v>
      </c>
      <c r="I343" s="2" t="s">
        <v>800</v>
      </c>
      <c r="K343" s="2" t="s">
        <v>44</v>
      </c>
      <c r="L343" s="2" t="s">
        <v>794</v>
      </c>
      <c r="N343" s="2" t="s">
        <v>465</v>
      </c>
      <c r="O343" s="2">
        <v>50.0</v>
      </c>
      <c r="P343" s="2" t="s">
        <v>47</v>
      </c>
      <c r="Q343" s="2" t="s">
        <v>797</v>
      </c>
      <c r="S343" s="2">
        <v>52.0</v>
      </c>
      <c r="T343" s="2" t="s">
        <v>78</v>
      </c>
      <c r="U343" s="2" t="s">
        <v>797</v>
      </c>
      <c r="AI343" s="2" t="str">
        <f t="shared" si="5"/>
        <v/>
      </c>
      <c r="AJ343" s="2" t="s">
        <v>49</v>
      </c>
      <c r="AK343" s="2" t="s">
        <v>50</v>
      </c>
    </row>
    <row r="344" ht="15.75" customHeight="1">
      <c r="A344" s="2" t="s">
        <v>39</v>
      </c>
      <c r="B344" s="3" t="str">
        <f>HYPERLINK("https://www.senado.gob.ar/parlamentario/comisiones/verExp/1040.25/S/PL","1040")</f>
        <v>1040</v>
      </c>
      <c r="C344" s="3" t="str">
        <f>HYPERLINK("https://www.senado.gob.ar/parlamentario/comisiones/verExp/1040.25/S/PL","2025")</f>
        <v>2025</v>
      </c>
      <c r="D344" s="2" t="s">
        <v>56</v>
      </c>
      <c r="E344" s="2" t="s">
        <v>801</v>
      </c>
      <c r="F344" s="2" t="s">
        <v>799</v>
      </c>
      <c r="I344" s="2" t="s">
        <v>800</v>
      </c>
      <c r="K344" s="2" t="s">
        <v>44</v>
      </c>
      <c r="L344" s="2" t="s">
        <v>794</v>
      </c>
      <c r="N344" s="2" t="s">
        <v>69</v>
      </c>
      <c r="O344" s="2">
        <v>50.0</v>
      </c>
      <c r="P344" s="2" t="s">
        <v>47</v>
      </c>
      <c r="Q344" s="2" t="s">
        <v>797</v>
      </c>
      <c r="S344" s="2">
        <v>75.0</v>
      </c>
      <c r="T344" s="2" t="s">
        <v>71</v>
      </c>
      <c r="U344" s="2" t="s">
        <v>797</v>
      </c>
      <c r="AI344" s="2" t="str">
        <f t="shared" si="5"/>
        <v/>
      </c>
      <c r="AJ344" s="2" t="s">
        <v>49</v>
      </c>
      <c r="AK344" s="2" t="s">
        <v>50</v>
      </c>
    </row>
    <row r="345" ht="15.75" customHeight="1">
      <c r="A345" s="2" t="s">
        <v>39</v>
      </c>
      <c r="B345" s="3" t="str">
        <f>HYPERLINK("https://www.senado.gob.ar/parlamentario/comisiones/verExp/1032.25/S/PL","1032")</f>
        <v>1032</v>
      </c>
      <c r="C345" s="3" t="str">
        <f>HYPERLINK("https://www.senado.gob.ar/parlamentario/comisiones/verExp/1032.25/S/PL","2025")</f>
        <v>2025</v>
      </c>
      <c r="D345" s="2" t="s">
        <v>56</v>
      </c>
      <c r="E345" s="2" t="s">
        <v>802</v>
      </c>
      <c r="F345" s="2" t="s">
        <v>799</v>
      </c>
      <c r="I345" s="2" t="s">
        <v>803</v>
      </c>
      <c r="K345" s="2" t="s">
        <v>44</v>
      </c>
      <c r="L345" s="2" t="s">
        <v>794</v>
      </c>
      <c r="N345" s="2" t="s">
        <v>804</v>
      </c>
      <c r="O345" s="2">
        <v>53.0</v>
      </c>
      <c r="P345" s="2" t="s">
        <v>76</v>
      </c>
      <c r="Q345" s="2" t="s">
        <v>797</v>
      </c>
      <c r="S345" s="2">
        <v>74.0</v>
      </c>
      <c r="T345" s="2" t="s">
        <v>256</v>
      </c>
      <c r="U345" s="2" t="s">
        <v>797</v>
      </c>
      <c r="W345" s="2">
        <v>54.0</v>
      </c>
      <c r="X345" s="2" t="s">
        <v>65</v>
      </c>
      <c r="Y345" s="2" t="s">
        <v>797</v>
      </c>
      <c r="AI345" s="2" t="str">
        <f t="shared" si="5"/>
        <v/>
      </c>
      <c r="AJ345" s="2" t="s">
        <v>49</v>
      </c>
      <c r="AK345" s="2" t="s">
        <v>50</v>
      </c>
    </row>
    <row r="346" ht="15.75" customHeight="1">
      <c r="A346" s="2" t="s">
        <v>39</v>
      </c>
      <c r="B346" s="3" t="str">
        <f>HYPERLINK("https://www.senado.gob.ar/parlamentario/comisiones/verExp/1023.25/S/PL","1023")</f>
        <v>1023</v>
      </c>
      <c r="C346" s="3" t="str">
        <f>HYPERLINK("https://www.senado.gob.ar/parlamentario/comisiones/verExp/1023.25/S/PL","2025")</f>
        <v>2025</v>
      </c>
      <c r="D346" s="2" t="s">
        <v>56</v>
      </c>
      <c r="E346" s="2" t="s">
        <v>805</v>
      </c>
      <c r="F346" s="2" t="s">
        <v>806</v>
      </c>
      <c r="I346" s="2" t="s">
        <v>807</v>
      </c>
      <c r="K346" s="2" t="s">
        <v>44</v>
      </c>
      <c r="L346" s="2" t="s">
        <v>794</v>
      </c>
      <c r="N346" s="2" t="s">
        <v>409</v>
      </c>
      <c r="O346" s="2">
        <v>75.0</v>
      </c>
      <c r="P346" s="2" t="s">
        <v>71</v>
      </c>
      <c r="Q346" s="2" t="s">
        <v>797</v>
      </c>
      <c r="AI346" s="2" t="str">
        <f t="shared" si="5"/>
        <v/>
      </c>
      <c r="AJ346" s="2" t="s">
        <v>49</v>
      </c>
      <c r="AK346" s="2" t="s">
        <v>50</v>
      </c>
    </row>
    <row r="347" ht="15.75" customHeight="1">
      <c r="A347" s="2" t="s">
        <v>39</v>
      </c>
      <c r="B347" s="3" t="str">
        <f>HYPERLINK("https://www.senado.gob.ar/parlamentario/comisiones/verExp/1021.25/S/PR","1021")</f>
        <v>1021</v>
      </c>
      <c r="C347" s="3" t="str">
        <f>HYPERLINK("https://www.senado.gob.ar/parlamentario/comisiones/verExp/1021.25/S/PR","2025")</f>
        <v>2025</v>
      </c>
      <c r="D347" s="2" t="s">
        <v>145</v>
      </c>
      <c r="E347" s="2" t="s">
        <v>808</v>
      </c>
      <c r="F347" s="2" t="s">
        <v>806</v>
      </c>
      <c r="I347" s="2" t="s">
        <v>807</v>
      </c>
      <c r="K347" s="2" t="s">
        <v>44</v>
      </c>
      <c r="L347" s="2" t="s">
        <v>794</v>
      </c>
      <c r="N347" s="2" t="s">
        <v>358</v>
      </c>
      <c r="O347" s="2">
        <v>78.0</v>
      </c>
      <c r="P347" s="2" t="s">
        <v>73</v>
      </c>
      <c r="Q347" s="2" t="s">
        <v>797</v>
      </c>
      <c r="AI347" s="2" t="str">
        <f t="shared" si="5"/>
        <v/>
      </c>
      <c r="AJ347" s="2" t="s">
        <v>49</v>
      </c>
      <c r="AK347" s="2" t="s">
        <v>50</v>
      </c>
    </row>
    <row r="348" ht="15.75" customHeight="1">
      <c r="A348" s="2" t="s">
        <v>39</v>
      </c>
      <c r="B348" s="3" t="str">
        <f>HYPERLINK("https://www.senado.gob.ar/parlamentario/comisiones/verExp/1020.25/S/PL","1020")</f>
        <v>1020</v>
      </c>
      <c r="C348" s="3" t="str">
        <f>HYPERLINK("https://www.senado.gob.ar/parlamentario/comisiones/verExp/1020.25/S/PL","2025")</f>
        <v>2025</v>
      </c>
      <c r="D348" s="2" t="s">
        <v>56</v>
      </c>
      <c r="E348" s="2" t="s">
        <v>809</v>
      </c>
      <c r="F348" s="2" t="s">
        <v>806</v>
      </c>
      <c r="I348" s="2" t="s">
        <v>807</v>
      </c>
      <c r="K348" s="2" t="s">
        <v>44</v>
      </c>
      <c r="L348" s="2" t="s">
        <v>794</v>
      </c>
      <c r="N348" s="2" t="s">
        <v>810</v>
      </c>
      <c r="O348" s="2">
        <v>55.0</v>
      </c>
      <c r="P348" s="2" t="s">
        <v>336</v>
      </c>
      <c r="Q348" s="2" t="s">
        <v>797</v>
      </c>
      <c r="AI348" s="2" t="str">
        <f t="shared" si="5"/>
        <v/>
      </c>
      <c r="AJ348" s="2" t="s">
        <v>49</v>
      </c>
      <c r="AK348" s="2" t="s">
        <v>50</v>
      </c>
    </row>
    <row r="349" ht="15.75" customHeight="1">
      <c r="A349" s="2" t="s">
        <v>39</v>
      </c>
      <c r="B349" s="3" t="str">
        <f>HYPERLINK("https://www.senado.gob.ar/parlamentario/comisiones/verExp/1019.25/S/PL","1019")</f>
        <v>1019</v>
      </c>
      <c r="C349" s="3" t="str">
        <f>HYPERLINK("https://www.senado.gob.ar/parlamentario/comisiones/verExp/1019.25/S/PL","2025")</f>
        <v>2025</v>
      </c>
      <c r="D349" s="2" t="s">
        <v>56</v>
      </c>
      <c r="E349" s="2" t="s">
        <v>811</v>
      </c>
      <c r="F349" s="2" t="s">
        <v>806</v>
      </c>
      <c r="I349" s="2" t="s">
        <v>807</v>
      </c>
      <c r="K349" s="2" t="s">
        <v>44</v>
      </c>
      <c r="L349" s="2" t="s">
        <v>794</v>
      </c>
      <c r="N349" s="2" t="s">
        <v>812</v>
      </c>
      <c r="O349" s="2">
        <v>55.0</v>
      </c>
      <c r="P349" s="2" t="s">
        <v>336</v>
      </c>
      <c r="Q349" s="2" t="s">
        <v>797</v>
      </c>
      <c r="AI349" s="2" t="str">
        <f t="shared" si="5"/>
        <v/>
      </c>
      <c r="AJ349" s="2" t="s">
        <v>49</v>
      </c>
      <c r="AK349" s="2" t="s">
        <v>50</v>
      </c>
    </row>
    <row r="350" ht="15.75" customHeight="1">
      <c r="A350" s="2" t="s">
        <v>39</v>
      </c>
      <c r="B350" s="3" t="str">
        <f>HYPERLINK("https://www.senado.gob.ar/parlamentario/comisiones/verExp/1017.25/S/PL","1017")</f>
        <v>1017</v>
      </c>
      <c r="C350" s="3" t="str">
        <f>HYPERLINK("https://www.senado.gob.ar/parlamentario/comisiones/verExp/1017.25/S/PL","2025")</f>
        <v>2025</v>
      </c>
      <c r="D350" s="2" t="s">
        <v>56</v>
      </c>
      <c r="E350" s="2" t="s">
        <v>813</v>
      </c>
      <c r="F350" s="2" t="s">
        <v>806</v>
      </c>
      <c r="I350" s="2" t="s">
        <v>807</v>
      </c>
      <c r="K350" s="2" t="s">
        <v>44</v>
      </c>
      <c r="L350" s="2" t="s">
        <v>794</v>
      </c>
      <c r="N350" s="2" t="s">
        <v>603</v>
      </c>
      <c r="O350" s="2">
        <v>78.0</v>
      </c>
      <c r="P350" s="2" t="s">
        <v>73</v>
      </c>
      <c r="Q350" s="2" t="s">
        <v>797</v>
      </c>
      <c r="S350" s="2">
        <v>61.0</v>
      </c>
      <c r="T350" s="2" t="s">
        <v>104</v>
      </c>
      <c r="U350" s="2" t="s">
        <v>797</v>
      </c>
      <c r="W350" s="2">
        <v>54.0</v>
      </c>
      <c r="X350" s="2" t="s">
        <v>65</v>
      </c>
      <c r="Y350" s="2" t="s">
        <v>797</v>
      </c>
      <c r="AI350" s="2" t="str">
        <f t="shared" si="5"/>
        <v/>
      </c>
      <c r="AJ350" s="2" t="s">
        <v>49</v>
      </c>
      <c r="AK350" s="2" t="s">
        <v>50</v>
      </c>
    </row>
    <row r="351" ht="15.75" customHeight="1">
      <c r="A351" s="2" t="s">
        <v>39</v>
      </c>
      <c r="B351" s="3" t="str">
        <f>HYPERLINK("https://www.senado.gob.ar/parlamentario/comisiones/verExp/1015.25/S/PR","1015")</f>
        <v>1015</v>
      </c>
      <c r="C351" s="3" t="str">
        <f>HYPERLINK("https://www.senado.gob.ar/parlamentario/comisiones/verExp/1015.25/S/PR","2025")</f>
        <v>2025</v>
      </c>
      <c r="D351" s="2" t="s">
        <v>145</v>
      </c>
      <c r="E351" s="2" t="s">
        <v>814</v>
      </c>
      <c r="F351" s="2" t="s">
        <v>806</v>
      </c>
      <c r="I351" s="2" t="s">
        <v>807</v>
      </c>
      <c r="K351" s="2" t="s">
        <v>44</v>
      </c>
      <c r="L351" s="2" t="s">
        <v>794</v>
      </c>
      <c r="N351" s="2" t="s">
        <v>815</v>
      </c>
      <c r="O351" s="2">
        <v>50.0</v>
      </c>
      <c r="P351" s="2" t="s">
        <v>47</v>
      </c>
      <c r="Q351" s="2" t="s">
        <v>797</v>
      </c>
      <c r="AI351" s="2" t="str">
        <f t="shared" si="5"/>
        <v/>
      </c>
      <c r="AJ351" s="2" t="s">
        <v>49</v>
      </c>
      <c r="AK351" s="2" t="s">
        <v>50</v>
      </c>
    </row>
    <row r="352" ht="15.75" customHeight="1">
      <c r="A352" s="2" t="s">
        <v>39</v>
      </c>
      <c r="B352" s="3" t="str">
        <f>HYPERLINK("https://www.senado.gob.ar/parlamentario/comisiones/verExp/1013.25/S/PL","1013")</f>
        <v>1013</v>
      </c>
      <c r="C352" s="3" t="str">
        <f>HYPERLINK("https://www.senado.gob.ar/parlamentario/comisiones/verExp/1013.25/S/PL","2025")</f>
        <v>2025</v>
      </c>
      <c r="D352" s="2" t="s">
        <v>56</v>
      </c>
      <c r="E352" s="2" t="s">
        <v>816</v>
      </c>
      <c r="F352" s="2" t="s">
        <v>806</v>
      </c>
      <c r="I352" s="2" t="s">
        <v>817</v>
      </c>
      <c r="K352" s="2" t="s">
        <v>44</v>
      </c>
      <c r="L352" s="2" t="s">
        <v>794</v>
      </c>
      <c r="N352" s="2" t="s">
        <v>69</v>
      </c>
      <c r="O352" s="2">
        <v>50.0</v>
      </c>
      <c r="P352" s="2" t="s">
        <v>47</v>
      </c>
      <c r="Q352" s="2" t="s">
        <v>797</v>
      </c>
      <c r="S352" s="2">
        <v>75.0</v>
      </c>
      <c r="T352" s="2" t="s">
        <v>71</v>
      </c>
      <c r="U352" s="2" t="s">
        <v>797</v>
      </c>
      <c r="AI352" s="2" t="str">
        <f t="shared" si="5"/>
        <v/>
      </c>
      <c r="AJ352" s="2" t="s">
        <v>49</v>
      </c>
      <c r="AK352" s="2" t="s">
        <v>50</v>
      </c>
    </row>
    <row r="353" ht="15.75" customHeight="1">
      <c r="A353" s="2" t="s">
        <v>39</v>
      </c>
      <c r="B353" s="3" t="str">
        <f>HYPERLINK("https://www.senado.gob.ar/parlamentario/comisiones/verExp/1012.25/S/PL","1012")</f>
        <v>1012</v>
      </c>
      <c r="C353" s="3" t="str">
        <f>HYPERLINK("https://www.senado.gob.ar/parlamentario/comisiones/verExp/1012.25/S/PL","2025")</f>
        <v>2025</v>
      </c>
      <c r="D353" s="2" t="s">
        <v>56</v>
      </c>
      <c r="E353" s="2" t="s">
        <v>818</v>
      </c>
      <c r="F353" s="2" t="s">
        <v>806</v>
      </c>
      <c r="I353" s="2" t="s">
        <v>817</v>
      </c>
      <c r="K353" s="2" t="s">
        <v>44</v>
      </c>
      <c r="L353" s="2" t="s">
        <v>794</v>
      </c>
      <c r="N353" s="2" t="s">
        <v>819</v>
      </c>
      <c r="O353" s="2">
        <v>50.0</v>
      </c>
      <c r="P353" s="2" t="s">
        <v>47</v>
      </c>
      <c r="Q353" s="2" t="s">
        <v>797</v>
      </c>
      <c r="S353" s="2">
        <v>75.0</v>
      </c>
      <c r="T353" s="2" t="s">
        <v>71</v>
      </c>
      <c r="U353" s="2" t="s">
        <v>797</v>
      </c>
      <c r="AI353" s="2" t="str">
        <f t="shared" si="5"/>
        <v/>
      </c>
      <c r="AJ353" s="2" t="s">
        <v>49</v>
      </c>
      <c r="AK353" s="2" t="s">
        <v>50</v>
      </c>
    </row>
    <row r="354" ht="15.75" customHeight="1">
      <c r="A354" s="2" t="s">
        <v>39</v>
      </c>
      <c r="B354" s="3" t="str">
        <f>HYPERLINK("https://www.senado.gob.ar/parlamentario/comisiones/verExp/1008.25/S/PL","1008")</f>
        <v>1008</v>
      </c>
      <c r="C354" s="3" t="str">
        <f>HYPERLINK("https://www.senado.gob.ar/parlamentario/comisiones/verExp/1008.25/S/PL","2025")</f>
        <v>2025</v>
      </c>
      <c r="D354" s="2" t="s">
        <v>56</v>
      </c>
      <c r="E354" s="2" t="s">
        <v>820</v>
      </c>
      <c r="F354" s="2" t="s">
        <v>806</v>
      </c>
      <c r="I354" s="2" t="s">
        <v>817</v>
      </c>
      <c r="K354" s="2" t="s">
        <v>44</v>
      </c>
      <c r="L354" s="2" t="s">
        <v>794</v>
      </c>
      <c r="N354" s="2" t="s">
        <v>75</v>
      </c>
      <c r="O354" s="2">
        <v>59.0</v>
      </c>
      <c r="P354" s="2" t="s">
        <v>220</v>
      </c>
      <c r="Q354" s="2" t="s">
        <v>797</v>
      </c>
      <c r="S354" s="2">
        <v>52.0</v>
      </c>
      <c r="T354" s="2" t="s">
        <v>78</v>
      </c>
      <c r="U354" s="2" t="s">
        <v>797</v>
      </c>
      <c r="AI354" s="2" t="str">
        <f t="shared" si="5"/>
        <v/>
      </c>
      <c r="AJ354" s="2" t="s">
        <v>49</v>
      </c>
      <c r="AK354" s="2" t="s">
        <v>50</v>
      </c>
    </row>
    <row r="355" ht="15.75" customHeight="1">
      <c r="A355" s="2" t="s">
        <v>39</v>
      </c>
      <c r="B355" s="3" t="str">
        <f>HYPERLINK("https://www.senado.gob.ar/parlamentario/comisiones/verExp/1005.25/S/PL","1005")</f>
        <v>1005</v>
      </c>
      <c r="C355" s="3" t="str">
        <f>HYPERLINK("https://www.senado.gob.ar/parlamentario/comisiones/verExp/1005.25/S/PL","2025")</f>
        <v>2025</v>
      </c>
      <c r="D355" s="2" t="s">
        <v>56</v>
      </c>
      <c r="E355" s="2" t="s">
        <v>821</v>
      </c>
      <c r="F355" s="2" t="s">
        <v>806</v>
      </c>
      <c r="I355" s="2" t="s">
        <v>822</v>
      </c>
      <c r="K355" s="2" t="s">
        <v>44</v>
      </c>
      <c r="L355" s="2" t="s">
        <v>794</v>
      </c>
      <c r="N355" s="2" t="s">
        <v>409</v>
      </c>
      <c r="O355" s="2">
        <v>50.0</v>
      </c>
      <c r="P355" s="2" t="s">
        <v>47</v>
      </c>
      <c r="Q355" s="2" t="s">
        <v>797</v>
      </c>
      <c r="S355" s="2">
        <v>52.0</v>
      </c>
      <c r="T355" s="2" t="s">
        <v>78</v>
      </c>
      <c r="U355" s="2" t="s">
        <v>797</v>
      </c>
      <c r="W355" s="2">
        <v>54.0</v>
      </c>
      <c r="X355" s="2" t="s">
        <v>65</v>
      </c>
      <c r="Y355" s="2" t="s">
        <v>797</v>
      </c>
      <c r="AI355" s="2" t="str">
        <f t="shared" si="5"/>
        <v/>
      </c>
      <c r="AJ355" s="2" t="s">
        <v>49</v>
      </c>
      <c r="AK355" s="2" t="s">
        <v>50</v>
      </c>
    </row>
    <row r="356" ht="15.75" customHeight="1">
      <c r="A356" s="2" t="s">
        <v>39</v>
      </c>
      <c r="B356" s="3" t="str">
        <f>HYPERLINK("https://www.senado.gob.ar/parlamentario/comisiones/verExp/1003.25/S/PL","1003")</f>
        <v>1003</v>
      </c>
      <c r="C356" s="3" t="str">
        <f>HYPERLINK("https://www.senado.gob.ar/parlamentario/comisiones/verExp/1003.25/S/PL","2025")</f>
        <v>2025</v>
      </c>
      <c r="D356" s="2" t="s">
        <v>56</v>
      </c>
      <c r="E356" s="2" t="s">
        <v>823</v>
      </c>
      <c r="F356" s="2" t="s">
        <v>824</v>
      </c>
      <c r="I356" s="2" t="s">
        <v>822</v>
      </c>
      <c r="K356" s="2" t="s">
        <v>44</v>
      </c>
      <c r="L356" s="2" t="s">
        <v>794</v>
      </c>
      <c r="N356" s="2" t="s">
        <v>825</v>
      </c>
      <c r="O356" s="2">
        <v>53.0</v>
      </c>
      <c r="P356" s="2" t="s">
        <v>76</v>
      </c>
      <c r="Q356" s="2" t="s">
        <v>797</v>
      </c>
      <c r="S356" s="2">
        <v>73.0</v>
      </c>
      <c r="T356" s="2" t="s">
        <v>237</v>
      </c>
      <c r="U356" s="2" t="s">
        <v>797</v>
      </c>
      <c r="AI356" s="2" t="str">
        <f t="shared" si="5"/>
        <v/>
      </c>
      <c r="AJ356" s="2" t="s">
        <v>49</v>
      </c>
      <c r="AK356" s="2" t="s">
        <v>50</v>
      </c>
    </row>
    <row r="357" ht="15.75" customHeight="1">
      <c r="A357" s="2" t="s">
        <v>39</v>
      </c>
      <c r="B357" s="3" t="str">
        <f>HYPERLINK("https://www.senado.gob.ar/parlamentario/comisiones/verExp/1001.25/S/PL","1001")</f>
        <v>1001</v>
      </c>
      <c r="C357" s="3" t="str">
        <f>HYPERLINK("https://www.senado.gob.ar/parlamentario/comisiones/verExp/1001.25/S/PL","2025")</f>
        <v>2025</v>
      </c>
      <c r="D357" s="2" t="s">
        <v>56</v>
      </c>
      <c r="E357" s="2" t="s">
        <v>826</v>
      </c>
      <c r="F357" s="2" t="s">
        <v>824</v>
      </c>
      <c r="I357" s="2" t="s">
        <v>822</v>
      </c>
      <c r="K357" s="2" t="s">
        <v>593</v>
      </c>
      <c r="L357" s="2" t="s">
        <v>827</v>
      </c>
      <c r="N357" s="2" t="s">
        <v>828</v>
      </c>
      <c r="O357" s="2">
        <v>78.0</v>
      </c>
      <c r="P357" s="2" t="s">
        <v>73</v>
      </c>
      <c r="Q357" s="2" t="s">
        <v>829</v>
      </c>
      <c r="S357" s="2">
        <v>70.0</v>
      </c>
      <c r="T357" s="2" t="s">
        <v>166</v>
      </c>
      <c r="U357" s="2" t="s">
        <v>829</v>
      </c>
      <c r="W357" s="2">
        <v>54.0</v>
      </c>
      <c r="X357" s="2" t="s">
        <v>65</v>
      </c>
      <c r="Y357" s="2" t="s">
        <v>829</v>
      </c>
      <c r="AI357" s="2" t="str">
        <f t="shared" si="5"/>
        <v/>
      </c>
      <c r="AJ357" s="2" t="s">
        <v>49</v>
      </c>
      <c r="AK357" s="2" t="s">
        <v>50</v>
      </c>
    </row>
    <row r="358" ht="15.75" customHeight="1">
      <c r="A358" s="2" t="s">
        <v>39</v>
      </c>
      <c r="B358" s="3" t="str">
        <f>HYPERLINK("https://www.senado.gob.ar/parlamentario/comisiones/verExp/972.25/S/PL","972")</f>
        <v>972</v>
      </c>
      <c r="C358" s="3" t="str">
        <f>HYPERLINK("https://www.senado.gob.ar/parlamentario/comisiones/verExp/972.25/S/PL","2025")</f>
        <v>2025</v>
      </c>
      <c r="D358" s="2" t="s">
        <v>56</v>
      </c>
      <c r="E358" s="2" t="s">
        <v>830</v>
      </c>
      <c r="F358" s="2" t="s">
        <v>831</v>
      </c>
      <c r="I358" s="2" t="s">
        <v>832</v>
      </c>
      <c r="K358" s="2" t="s">
        <v>44</v>
      </c>
      <c r="L358" s="2" t="s">
        <v>833</v>
      </c>
      <c r="N358" s="2" t="s">
        <v>669</v>
      </c>
      <c r="O358" s="2">
        <v>69.0</v>
      </c>
      <c r="P358" s="2" t="s">
        <v>135</v>
      </c>
      <c r="Q358" s="2" t="s">
        <v>834</v>
      </c>
      <c r="S358" s="2">
        <v>52.0</v>
      </c>
      <c r="T358" s="2" t="s">
        <v>78</v>
      </c>
      <c r="U358" s="2" t="s">
        <v>834</v>
      </c>
      <c r="W358" s="2">
        <v>54.0</v>
      </c>
      <c r="X358" s="2" t="s">
        <v>65</v>
      </c>
      <c r="Y358" s="2" t="s">
        <v>834</v>
      </c>
      <c r="AI358" s="2" t="str">
        <f t="shared" si="5"/>
        <v/>
      </c>
      <c r="AJ358" s="2" t="s">
        <v>49</v>
      </c>
      <c r="AK358" s="2" t="s">
        <v>50</v>
      </c>
    </row>
    <row r="359" ht="15.75" customHeight="1">
      <c r="A359" s="2" t="s">
        <v>39</v>
      </c>
      <c r="B359" s="3" t="str">
        <f>HYPERLINK("https://www.senado.gob.ar/parlamentario/comisiones/verExp/971.25/S/PL","971")</f>
        <v>971</v>
      </c>
      <c r="C359" s="3" t="str">
        <f>HYPERLINK("https://www.senado.gob.ar/parlamentario/comisiones/verExp/971.25/S/PL","2025")</f>
        <v>2025</v>
      </c>
      <c r="D359" s="2" t="s">
        <v>56</v>
      </c>
      <c r="E359" s="2" t="s">
        <v>835</v>
      </c>
      <c r="F359" s="2" t="s">
        <v>831</v>
      </c>
      <c r="I359" s="2" t="s">
        <v>832</v>
      </c>
      <c r="K359" s="2" t="s">
        <v>44</v>
      </c>
      <c r="L359" s="2" t="s">
        <v>833</v>
      </c>
      <c r="N359" s="2" t="s">
        <v>836</v>
      </c>
      <c r="O359" s="2">
        <v>50.0</v>
      </c>
      <c r="P359" s="2" t="s">
        <v>47</v>
      </c>
      <c r="Q359" s="2" t="s">
        <v>834</v>
      </c>
      <c r="S359" s="2">
        <v>54.0</v>
      </c>
      <c r="T359" s="2" t="s">
        <v>65</v>
      </c>
      <c r="U359" s="2" t="s">
        <v>834</v>
      </c>
      <c r="AI359" s="2" t="str">
        <f t="shared" si="5"/>
        <v/>
      </c>
      <c r="AJ359" s="2" t="s">
        <v>49</v>
      </c>
      <c r="AK359" s="2" t="s">
        <v>50</v>
      </c>
    </row>
    <row r="360" ht="15.75" customHeight="1">
      <c r="A360" s="2" t="s">
        <v>39</v>
      </c>
      <c r="B360" s="3" t="str">
        <f>HYPERLINK("https://www.senado.gob.ar/parlamentario/comisiones/verExp/968.25/S/PL","968")</f>
        <v>968</v>
      </c>
      <c r="C360" s="3" t="str">
        <f>HYPERLINK("https://www.senado.gob.ar/parlamentario/comisiones/verExp/968.25/S/PL","2025")</f>
        <v>2025</v>
      </c>
      <c r="D360" s="2" t="s">
        <v>56</v>
      </c>
      <c r="E360" s="2" t="s">
        <v>837</v>
      </c>
      <c r="F360" s="2" t="s">
        <v>838</v>
      </c>
      <c r="I360" s="2" t="s">
        <v>832</v>
      </c>
      <c r="K360" s="2" t="s">
        <v>44</v>
      </c>
      <c r="L360" s="2" t="s">
        <v>833</v>
      </c>
      <c r="N360" s="2" t="s">
        <v>839</v>
      </c>
      <c r="O360" s="2">
        <v>50.0</v>
      </c>
      <c r="P360" s="2" t="s">
        <v>47</v>
      </c>
      <c r="Q360" s="2" t="s">
        <v>834</v>
      </c>
      <c r="S360" s="2">
        <v>64.0</v>
      </c>
      <c r="T360" s="2" t="s">
        <v>186</v>
      </c>
      <c r="U360" s="2" t="s">
        <v>834</v>
      </c>
      <c r="AI360" s="2" t="str">
        <f t="shared" si="5"/>
        <v/>
      </c>
      <c r="AJ360" s="2" t="s">
        <v>49</v>
      </c>
      <c r="AK360" s="2" t="s">
        <v>50</v>
      </c>
    </row>
    <row r="361" ht="15.75" customHeight="1">
      <c r="A361" s="2" t="s">
        <v>39</v>
      </c>
      <c r="B361" s="3" t="str">
        <f>HYPERLINK("https://www.senado.gob.ar/parlamentario/comisiones/verExp/964.25/S/PR","964")</f>
        <v>964</v>
      </c>
      <c r="C361" s="3" t="str">
        <f>HYPERLINK("https://www.senado.gob.ar/parlamentario/comisiones/verExp/964.25/S/PR","2025")</f>
        <v>2025</v>
      </c>
      <c r="D361" s="2" t="s">
        <v>145</v>
      </c>
      <c r="E361" s="2" t="s">
        <v>840</v>
      </c>
      <c r="F361" s="2" t="s">
        <v>838</v>
      </c>
      <c r="I361" s="2" t="s">
        <v>832</v>
      </c>
      <c r="K361" s="2" t="s">
        <v>597</v>
      </c>
      <c r="L361" s="2" t="s">
        <v>841</v>
      </c>
      <c r="N361" s="2" t="s">
        <v>842</v>
      </c>
      <c r="O361" s="2">
        <v>75.0</v>
      </c>
      <c r="P361" s="2" t="s">
        <v>71</v>
      </c>
      <c r="Q361" s="2" t="s">
        <v>829</v>
      </c>
      <c r="R361" s="2" t="s">
        <v>450</v>
      </c>
      <c r="S361" s="2">
        <v>75.0</v>
      </c>
      <c r="T361" s="2" t="s">
        <v>71</v>
      </c>
      <c r="U361" s="2" t="s">
        <v>600</v>
      </c>
      <c r="AI361" s="3" t="str">
        <f>HYPERLINK("https://www.senado.gob.ar/parlamentario/parlamentaria/ordenDelDiaResultadoLink/2025/583"," 583 2025 RB -")</f>
        <v> 583 2025 RB -</v>
      </c>
      <c r="AJ361" s="2" t="s">
        <v>49</v>
      </c>
      <c r="AK361" s="2" t="s">
        <v>50</v>
      </c>
    </row>
    <row r="362" ht="15.75" customHeight="1">
      <c r="A362" s="2" t="s">
        <v>39</v>
      </c>
      <c r="B362" s="3" t="str">
        <f>HYPERLINK("https://www.senado.gob.ar/parlamentario/comisiones/verExp/963.25/S/PL","963")</f>
        <v>963</v>
      </c>
      <c r="C362" s="3" t="str">
        <f>HYPERLINK("https://www.senado.gob.ar/parlamentario/comisiones/verExp/963.25/S/PL","2025")</f>
        <v>2025</v>
      </c>
      <c r="D362" s="2" t="s">
        <v>56</v>
      </c>
      <c r="E362" s="2" t="s">
        <v>843</v>
      </c>
      <c r="F362" s="2" t="s">
        <v>838</v>
      </c>
      <c r="I362" s="2" t="s">
        <v>832</v>
      </c>
      <c r="K362" s="2" t="s">
        <v>44</v>
      </c>
      <c r="L362" s="2" t="s">
        <v>833</v>
      </c>
      <c r="N362" s="2" t="s">
        <v>223</v>
      </c>
      <c r="O362" s="2">
        <v>78.0</v>
      </c>
      <c r="P362" s="2" t="s">
        <v>73</v>
      </c>
      <c r="Q362" s="2" t="s">
        <v>834</v>
      </c>
      <c r="S362" s="2">
        <v>61.0</v>
      </c>
      <c r="T362" s="2" t="s">
        <v>104</v>
      </c>
      <c r="U362" s="2" t="s">
        <v>834</v>
      </c>
      <c r="AI362" s="2" t="str">
        <f t="shared" ref="AI362:AI395" si="6">HYPERLINK("","")</f>
        <v/>
      </c>
      <c r="AJ362" s="2" t="s">
        <v>49</v>
      </c>
      <c r="AK362" s="2" t="s">
        <v>50</v>
      </c>
    </row>
    <row r="363" ht="15.75" customHeight="1">
      <c r="A363" s="2" t="s">
        <v>39</v>
      </c>
      <c r="B363" s="3" t="str">
        <f>HYPERLINK("https://www.senado.gob.ar/parlamentario/comisiones/verExp/962.25/S/PL","962")</f>
        <v>962</v>
      </c>
      <c r="C363" s="3" t="str">
        <f>HYPERLINK("https://www.senado.gob.ar/parlamentario/comisiones/verExp/962.25/S/PL","2025")</f>
        <v>2025</v>
      </c>
      <c r="D363" s="2" t="s">
        <v>56</v>
      </c>
      <c r="E363" s="2" t="s">
        <v>844</v>
      </c>
      <c r="F363" s="2" t="s">
        <v>838</v>
      </c>
      <c r="I363" s="2" t="s">
        <v>832</v>
      </c>
      <c r="K363" s="2" t="s">
        <v>44</v>
      </c>
      <c r="L363" s="2" t="s">
        <v>833</v>
      </c>
      <c r="N363" s="2" t="s">
        <v>69</v>
      </c>
      <c r="O363" s="2">
        <v>78.0</v>
      </c>
      <c r="P363" s="2" t="s">
        <v>73</v>
      </c>
      <c r="Q363" s="2" t="s">
        <v>834</v>
      </c>
      <c r="S363" s="2">
        <v>61.0</v>
      </c>
      <c r="T363" s="2" t="s">
        <v>104</v>
      </c>
      <c r="U363" s="2" t="s">
        <v>834</v>
      </c>
      <c r="W363" s="2">
        <v>54.0</v>
      </c>
      <c r="X363" s="2" t="s">
        <v>65</v>
      </c>
      <c r="Y363" s="2" t="s">
        <v>834</v>
      </c>
      <c r="AI363" s="2" t="str">
        <f t="shared" si="6"/>
        <v/>
      </c>
      <c r="AJ363" s="2" t="s">
        <v>49</v>
      </c>
      <c r="AK363" s="2" t="s">
        <v>50</v>
      </c>
    </row>
    <row r="364" ht="15.75" customHeight="1">
      <c r="A364" s="2" t="s">
        <v>39</v>
      </c>
      <c r="B364" s="3" t="str">
        <f>HYPERLINK("https://www.senado.gob.ar/parlamentario/comisiones/verExp/961.25/S/PL","961")</f>
        <v>961</v>
      </c>
      <c r="C364" s="3" t="str">
        <f>HYPERLINK("https://www.senado.gob.ar/parlamentario/comisiones/verExp/961.25/S/PL","2025")</f>
        <v>2025</v>
      </c>
      <c r="D364" s="2" t="s">
        <v>56</v>
      </c>
      <c r="E364" s="2" t="s">
        <v>845</v>
      </c>
      <c r="F364" s="2" t="s">
        <v>838</v>
      </c>
      <c r="I364" s="2" t="s">
        <v>832</v>
      </c>
      <c r="K364" s="2" t="s">
        <v>44</v>
      </c>
      <c r="L364" s="2" t="s">
        <v>833</v>
      </c>
      <c r="N364" s="2" t="s">
        <v>69</v>
      </c>
      <c r="O364" s="2">
        <v>67.0</v>
      </c>
      <c r="P364" s="2" t="s">
        <v>84</v>
      </c>
      <c r="Q364" s="2" t="s">
        <v>834</v>
      </c>
      <c r="S364" s="2">
        <v>54.0</v>
      </c>
      <c r="T364" s="2" t="s">
        <v>65</v>
      </c>
      <c r="U364" s="2" t="s">
        <v>834</v>
      </c>
      <c r="AI364" s="2" t="str">
        <f t="shared" si="6"/>
        <v/>
      </c>
      <c r="AJ364" s="2" t="s">
        <v>49</v>
      </c>
      <c r="AK364" s="2" t="s">
        <v>50</v>
      </c>
    </row>
    <row r="365" ht="15.75" customHeight="1">
      <c r="A365" s="2" t="s">
        <v>39</v>
      </c>
      <c r="B365" s="3" t="str">
        <f>HYPERLINK("https://www.senado.gob.ar/parlamentario/comisiones/verExp/960.25/S/PL","960")</f>
        <v>960</v>
      </c>
      <c r="C365" s="3" t="str">
        <f>HYPERLINK("https://www.senado.gob.ar/parlamentario/comisiones/verExp/960.25/S/PL","2025")</f>
        <v>2025</v>
      </c>
      <c r="D365" s="2" t="s">
        <v>56</v>
      </c>
      <c r="E365" s="2" t="s">
        <v>846</v>
      </c>
      <c r="F365" s="2" t="s">
        <v>838</v>
      </c>
      <c r="I365" s="2" t="s">
        <v>832</v>
      </c>
      <c r="K365" s="2" t="s">
        <v>44</v>
      </c>
      <c r="L365" s="2" t="s">
        <v>833</v>
      </c>
      <c r="N365" s="2" t="s">
        <v>69</v>
      </c>
      <c r="O365" s="2">
        <v>75.0</v>
      </c>
      <c r="P365" s="2" t="s">
        <v>71</v>
      </c>
      <c r="Q365" s="2" t="s">
        <v>834</v>
      </c>
      <c r="S365" s="2">
        <v>54.0</v>
      </c>
      <c r="T365" s="2" t="s">
        <v>65</v>
      </c>
      <c r="U365" s="2" t="s">
        <v>834</v>
      </c>
      <c r="AI365" s="2" t="str">
        <f t="shared" si="6"/>
        <v/>
      </c>
      <c r="AJ365" s="2" t="s">
        <v>49</v>
      </c>
      <c r="AK365" s="2" t="s">
        <v>50</v>
      </c>
    </row>
    <row r="366" ht="15.75" customHeight="1">
      <c r="A366" s="2" t="s">
        <v>39</v>
      </c>
      <c r="B366" s="3" t="str">
        <f>HYPERLINK("https://www.senado.gob.ar/parlamentario/comisiones/verExp/959.25/S/PL","959")</f>
        <v>959</v>
      </c>
      <c r="C366" s="3" t="str">
        <f>HYPERLINK("https://www.senado.gob.ar/parlamentario/comisiones/verExp/959.25/S/PL","2025")</f>
        <v>2025</v>
      </c>
      <c r="D366" s="2" t="s">
        <v>56</v>
      </c>
      <c r="E366" s="2" t="s">
        <v>847</v>
      </c>
      <c r="F366" s="2" t="s">
        <v>838</v>
      </c>
      <c r="I366" s="2" t="s">
        <v>832</v>
      </c>
      <c r="K366" s="2" t="s">
        <v>44</v>
      </c>
      <c r="L366" s="2" t="s">
        <v>833</v>
      </c>
      <c r="N366" s="2" t="s">
        <v>69</v>
      </c>
      <c r="O366" s="2">
        <v>61.0</v>
      </c>
      <c r="P366" s="2" t="s">
        <v>104</v>
      </c>
      <c r="Q366" s="2" t="s">
        <v>834</v>
      </c>
      <c r="S366" s="2">
        <v>54.0</v>
      </c>
      <c r="T366" s="2" t="s">
        <v>65</v>
      </c>
      <c r="U366" s="2" t="s">
        <v>834</v>
      </c>
      <c r="AI366" s="2" t="str">
        <f t="shared" si="6"/>
        <v/>
      </c>
      <c r="AJ366" s="2" t="s">
        <v>49</v>
      </c>
      <c r="AK366" s="2" t="s">
        <v>50</v>
      </c>
    </row>
    <row r="367" ht="15.75" customHeight="1">
      <c r="A367" s="2" t="s">
        <v>39</v>
      </c>
      <c r="B367" s="3" t="str">
        <f>HYPERLINK("https://www.senado.gob.ar/parlamentario/comisiones/verExp/958.25/S/PL","958")</f>
        <v>958</v>
      </c>
      <c r="C367" s="3" t="str">
        <f>HYPERLINK("https://www.senado.gob.ar/parlamentario/comisiones/verExp/958.25/S/PL","2025")</f>
        <v>2025</v>
      </c>
      <c r="D367" s="2" t="s">
        <v>56</v>
      </c>
      <c r="E367" s="2" t="s">
        <v>848</v>
      </c>
      <c r="F367" s="2" t="s">
        <v>838</v>
      </c>
      <c r="I367" s="2" t="s">
        <v>832</v>
      </c>
      <c r="K367" s="2" t="s">
        <v>44</v>
      </c>
      <c r="L367" s="2" t="s">
        <v>833</v>
      </c>
      <c r="N367" s="2" t="s">
        <v>69</v>
      </c>
      <c r="O367" s="2">
        <v>77.0</v>
      </c>
      <c r="P367" s="2" t="s">
        <v>70</v>
      </c>
      <c r="Q367" s="2" t="s">
        <v>834</v>
      </c>
      <c r="S367" s="2">
        <v>53.0</v>
      </c>
      <c r="T367" s="2" t="s">
        <v>76</v>
      </c>
      <c r="U367" s="2" t="s">
        <v>834</v>
      </c>
      <c r="W367" s="2">
        <v>54.0</v>
      </c>
      <c r="X367" s="2" t="s">
        <v>65</v>
      </c>
      <c r="Y367" s="2" t="s">
        <v>834</v>
      </c>
      <c r="AI367" s="2" t="str">
        <f t="shared" si="6"/>
        <v/>
      </c>
      <c r="AJ367" s="2" t="s">
        <v>49</v>
      </c>
      <c r="AK367" s="2" t="s">
        <v>50</v>
      </c>
    </row>
    <row r="368" ht="15.75" customHeight="1">
      <c r="A368" s="2" t="s">
        <v>39</v>
      </c>
      <c r="B368" s="3" t="str">
        <f>HYPERLINK("https://www.senado.gob.ar/parlamentario/comisiones/verExp/957.25/S/PL","957")</f>
        <v>957</v>
      </c>
      <c r="C368" s="3" t="str">
        <f>HYPERLINK("https://www.senado.gob.ar/parlamentario/comisiones/verExp/957.25/S/PL","2025")</f>
        <v>2025</v>
      </c>
      <c r="D368" s="2" t="s">
        <v>56</v>
      </c>
      <c r="E368" s="2" t="s">
        <v>849</v>
      </c>
      <c r="F368" s="2" t="s">
        <v>838</v>
      </c>
      <c r="I368" s="2" t="s">
        <v>832</v>
      </c>
      <c r="K368" s="2" t="s">
        <v>44</v>
      </c>
      <c r="L368" s="2" t="s">
        <v>833</v>
      </c>
      <c r="N368" s="2" t="s">
        <v>69</v>
      </c>
      <c r="O368" s="2">
        <v>78.0</v>
      </c>
      <c r="P368" s="2" t="s">
        <v>73</v>
      </c>
      <c r="Q368" s="2" t="s">
        <v>834</v>
      </c>
      <c r="S368" s="2">
        <v>53.0</v>
      </c>
      <c r="T368" s="2" t="s">
        <v>76</v>
      </c>
      <c r="U368" s="2" t="s">
        <v>834</v>
      </c>
      <c r="W368" s="2">
        <v>52.0</v>
      </c>
      <c r="X368" s="2" t="s">
        <v>78</v>
      </c>
      <c r="Y368" s="2" t="s">
        <v>834</v>
      </c>
      <c r="AI368" s="2" t="str">
        <f t="shared" si="6"/>
        <v/>
      </c>
      <c r="AJ368" s="2" t="s">
        <v>49</v>
      </c>
      <c r="AK368" s="2" t="s">
        <v>50</v>
      </c>
    </row>
    <row r="369" ht="15.75" customHeight="1">
      <c r="A369" s="2" t="s">
        <v>39</v>
      </c>
      <c r="B369" s="3" t="str">
        <f>HYPERLINK("https://www.senado.gob.ar/parlamentario/comisiones/verExp/956.25/S/PL","956")</f>
        <v>956</v>
      </c>
      <c r="C369" s="3" t="str">
        <f>HYPERLINK("https://www.senado.gob.ar/parlamentario/comisiones/verExp/956.25/S/PL","2025")</f>
        <v>2025</v>
      </c>
      <c r="D369" s="2" t="s">
        <v>56</v>
      </c>
      <c r="E369" s="2" t="s">
        <v>850</v>
      </c>
      <c r="F369" s="2" t="s">
        <v>838</v>
      </c>
      <c r="I369" s="2" t="s">
        <v>832</v>
      </c>
      <c r="K369" s="2" t="s">
        <v>44</v>
      </c>
      <c r="L369" s="2" t="s">
        <v>833</v>
      </c>
      <c r="N369" s="2" t="s">
        <v>69</v>
      </c>
      <c r="O369" s="2">
        <v>78.0</v>
      </c>
      <c r="P369" s="2" t="s">
        <v>73</v>
      </c>
      <c r="Q369" s="2" t="s">
        <v>834</v>
      </c>
      <c r="S369" s="2">
        <v>61.0</v>
      </c>
      <c r="T369" s="2" t="s">
        <v>104</v>
      </c>
      <c r="U369" s="2" t="s">
        <v>834</v>
      </c>
      <c r="W369" s="2">
        <v>54.0</v>
      </c>
      <c r="X369" s="2" t="s">
        <v>65</v>
      </c>
      <c r="Y369" s="2" t="s">
        <v>834</v>
      </c>
      <c r="AI369" s="2" t="str">
        <f t="shared" si="6"/>
        <v/>
      </c>
      <c r="AJ369" s="2" t="s">
        <v>49</v>
      </c>
      <c r="AK369" s="2" t="s">
        <v>50</v>
      </c>
    </row>
    <row r="370" ht="15.75" customHeight="1">
      <c r="A370" s="2" t="s">
        <v>39</v>
      </c>
      <c r="B370" s="3" t="str">
        <f>HYPERLINK("https://www.senado.gob.ar/parlamentario/comisiones/verExp/955.25/S/PL","955")</f>
        <v>955</v>
      </c>
      <c r="C370" s="3" t="str">
        <f>HYPERLINK("https://www.senado.gob.ar/parlamentario/comisiones/verExp/955.25/S/PL","2025")</f>
        <v>2025</v>
      </c>
      <c r="D370" s="2" t="s">
        <v>56</v>
      </c>
      <c r="E370" s="2" t="s">
        <v>851</v>
      </c>
      <c r="F370" s="2" t="s">
        <v>838</v>
      </c>
      <c r="I370" s="2" t="s">
        <v>832</v>
      </c>
      <c r="K370" s="2" t="s">
        <v>44</v>
      </c>
      <c r="L370" s="2" t="s">
        <v>833</v>
      </c>
      <c r="N370" s="2" t="s">
        <v>69</v>
      </c>
      <c r="O370" s="2">
        <v>53.0</v>
      </c>
      <c r="P370" s="2" t="s">
        <v>76</v>
      </c>
      <c r="Q370" s="2" t="s">
        <v>834</v>
      </c>
      <c r="AI370" s="2" t="str">
        <f t="shared" si="6"/>
        <v/>
      </c>
      <c r="AJ370" s="2" t="s">
        <v>49</v>
      </c>
      <c r="AK370" s="2" t="s">
        <v>50</v>
      </c>
    </row>
    <row r="371" ht="15.75" customHeight="1">
      <c r="A371" s="2" t="s">
        <v>39</v>
      </c>
      <c r="B371" s="3" t="str">
        <f>HYPERLINK("https://www.senado.gob.ar/parlamentario/comisiones/verExp/954.25/S/PL","954")</f>
        <v>954</v>
      </c>
      <c r="C371" s="3" t="str">
        <f>HYPERLINK("https://www.senado.gob.ar/parlamentario/comisiones/verExp/954.25/S/PL","2025")</f>
        <v>2025</v>
      </c>
      <c r="D371" s="2" t="s">
        <v>56</v>
      </c>
      <c r="E371" s="2" t="s">
        <v>852</v>
      </c>
      <c r="F371" s="2" t="s">
        <v>838</v>
      </c>
      <c r="I371" s="2" t="s">
        <v>832</v>
      </c>
      <c r="K371" s="2" t="s">
        <v>44</v>
      </c>
      <c r="L371" s="2" t="s">
        <v>833</v>
      </c>
      <c r="N371" s="2" t="s">
        <v>69</v>
      </c>
      <c r="O371" s="2">
        <v>50.0</v>
      </c>
      <c r="P371" s="2" t="s">
        <v>47</v>
      </c>
      <c r="Q371" s="2" t="s">
        <v>834</v>
      </c>
      <c r="S371" s="2">
        <v>52.0</v>
      </c>
      <c r="T371" s="2" t="s">
        <v>78</v>
      </c>
      <c r="U371" s="2" t="s">
        <v>834</v>
      </c>
      <c r="AI371" s="2" t="str">
        <f t="shared" si="6"/>
        <v/>
      </c>
      <c r="AJ371" s="2" t="s">
        <v>49</v>
      </c>
      <c r="AK371" s="2" t="s">
        <v>50</v>
      </c>
    </row>
    <row r="372" ht="15.75" customHeight="1">
      <c r="A372" s="2" t="s">
        <v>39</v>
      </c>
      <c r="B372" s="3" t="str">
        <f>HYPERLINK("https://www.senado.gob.ar/parlamentario/comisiones/verExp/953.25/S/PL","953")</f>
        <v>953</v>
      </c>
      <c r="C372" s="3" t="str">
        <f>HYPERLINK("https://www.senado.gob.ar/parlamentario/comisiones/verExp/953.25/S/PL","2025")</f>
        <v>2025</v>
      </c>
      <c r="D372" s="2" t="s">
        <v>56</v>
      </c>
      <c r="E372" s="2" t="s">
        <v>853</v>
      </c>
      <c r="F372" s="2" t="s">
        <v>838</v>
      </c>
      <c r="I372" s="2" t="s">
        <v>832</v>
      </c>
      <c r="K372" s="2" t="s">
        <v>44</v>
      </c>
      <c r="L372" s="2" t="s">
        <v>833</v>
      </c>
      <c r="N372" s="2" t="s">
        <v>69</v>
      </c>
      <c r="O372" s="2">
        <v>67.0</v>
      </c>
      <c r="P372" s="2" t="s">
        <v>84</v>
      </c>
      <c r="Q372" s="2" t="s">
        <v>834</v>
      </c>
      <c r="S372" s="2">
        <v>54.0</v>
      </c>
      <c r="T372" s="2" t="s">
        <v>65</v>
      </c>
      <c r="U372" s="2" t="s">
        <v>834</v>
      </c>
      <c r="AI372" s="2" t="str">
        <f t="shared" si="6"/>
        <v/>
      </c>
      <c r="AJ372" s="2" t="s">
        <v>49</v>
      </c>
      <c r="AK372" s="2" t="s">
        <v>50</v>
      </c>
    </row>
    <row r="373" ht="15.75" customHeight="1">
      <c r="A373" s="2" t="s">
        <v>39</v>
      </c>
      <c r="B373" s="3" t="str">
        <f>HYPERLINK("https://www.senado.gob.ar/parlamentario/comisiones/verExp/952.25/S/PL","952")</f>
        <v>952</v>
      </c>
      <c r="C373" s="3" t="str">
        <f>HYPERLINK("https://www.senado.gob.ar/parlamentario/comisiones/verExp/952.25/S/PL","2025")</f>
        <v>2025</v>
      </c>
      <c r="D373" s="2" t="s">
        <v>56</v>
      </c>
      <c r="E373" s="2" t="s">
        <v>854</v>
      </c>
      <c r="F373" s="2" t="s">
        <v>838</v>
      </c>
      <c r="I373" s="2" t="s">
        <v>832</v>
      </c>
      <c r="K373" s="2" t="s">
        <v>44</v>
      </c>
      <c r="L373" s="2" t="s">
        <v>833</v>
      </c>
      <c r="N373" s="2" t="s">
        <v>69</v>
      </c>
      <c r="O373" s="2">
        <v>61.0</v>
      </c>
      <c r="P373" s="2" t="s">
        <v>104</v>
      </c>
      <c r="Q373" s="2" t="s">
        <v>834</v>
      </c>
      <c r="S373" s="2">
        <v>54.0</v>
      </c>
      <c r="T373" s="2" t="s">
        <v>65</v>
      </c>
      <c r="U373" s="2" t="s">
        <v>834</v>
      </c>
      <c r="AI373" s="2" t="str">
        <f t="shared" si="6"/>
        <v/>
      </c>
      <c r="AJ373" s="2" t="s">
        <v>49</v>
      </c>
      <c r="AK373" s="2" t="s">
        <v>50</v>
      </c>
    </row>
    <row r="374" ht="15.75" customHeight="1">
      <c r="A374" s="2" t="s">
        <v>39</v>
      </c>
      <c r="B374" s="3" t="str">
        <f>HYPERLINK("https://www.senado.gob.ar/parlamentario/comisiones/verExp/951.25/S/PL","951")</f>
        <v>951</v>
      </c>
      <c r="C374" s="3" t="str">
        <f>HYPERLINK("https://www.senado.gob.ar/parlamentario/comisiones/verExp/951.25/S/PL","2025")</f>
        <v>2025</v>
      </c>
      <c r="D374" s="2" t="s">
        <v>56</v>
      </c>
      <c r="E374" s="2" t="s">
        <v>855</v>
      </c>
      <c r="F374" s="2" t="s">
        <v>838</v>
      </c>
      <c r="I374" s="2" t="s">
        <v>832</v>
      </c>
      <c r="K374" s="2" t="s">
        <v>44</v>
      </c>
      <c r="L374" s="2" t="s">
        <v>833</v>
      </c>
      <c r="N374" s="2" t="s">
        <v>69</v>
      </c>
      <c r="O374" s="2">
        <v>75.0</v>
      </c>
      <c r="P374" s="2" t="s">
        <v>71</v>
      </c>
      <c r="Q374" s="2" t="s">
        <v>834</v>
      </c>
      <c r="S374" s="2">
        <v>78.0</v>
      </c>
      <c r="T374" s="2" t="s">
        <v>73</v>
      </c>
      <c r="U374" s="2" t="s">
        <v>834</v>
      </c>
      <c r="AI374" s="2" t="str">
        <f t="shared" si="6"/>
        <v/>
      </c>
      <c r="AJ374" s="2" t="s">
        <v>49</v>
      </c>
      <c r="AK374" s="2" t="s">
        <v>50</v>
      </c>
    </row>
    <row r="375" ht="15.75" customHeight="1">
      <c r="A375" s="2" t="s">
        <v>39</v>
      </c>
      <c r="B375" s="3" t="str">
        <f>HYPERLINK("https://www.senado.gob.ar/parlamentario/comisiones/verExp/950.25/S/PL","950")</f>
        <v>950</v>
      </c>
      <c r="C375" s="3" t="str">
        <f>HYPERLINK("https://www.senado.gob.ar/parlamentario/comisiones/verExp/950.25/S/PL","2025")</f>
        <v>2025</v>
      </c>
      <c r="D375" s="2" t="s">
        <v>56</v>
      </c>
      <c r="E375" s="2" t="s">
        <v>856</v>
      </c>
      <c r="F375" s="2" t="s">
        <v>838</v>
      </c>
      <c r="I375" s="2" t="s">
        <v>832</v>
      </c>
      <c r="K375" s="2" t="s">
        <v>44</v>
      </c>
      <c r="L375" s="2" t="s">
        <v>833</v>
      </c>
      <c r="N375" s="2" t="s">
        <v>69</v>
      </c>
      <c r="O375" s="2">
        <v>67.0</v>
      </c>
      <c r="P375" s="2" t="s">
        <v>84</v>
      </c>
      <c r="Q375" s="2" t="s">
        <v>834</v>
      </c>
      <c r="AI375" s="2" t="str">
        <f t="shared" si="6"/>
        <v/>
      </c>
      <c r="AJ375" s="2" t="s">
        <v>49</v>
      </c>
      <c r="AK375" s="2" t="s">
        <v>50</v>
      </c>
    </row>
    <row r="376" ht="15.75" customHeight="1">
      <c r="A376" s="2" t="s">
        <v>39</v>
      </c>
      <c r="B376" s="3" t="str">
        <f>HYPERLINK("https://www.senado.gob.ar/parlamentario/comisiones/verExp/949.25/S/PL","949")</f>
        <v>949</v>
      </c>
      <c r="C376" s="3" t="str">
        <f>HYPERLINK("https://www.senado.gob.ar/parlamentario/comisiones/verExp/949.25/S/PL","2025")</f>
        <v>2025</v>
      </c>
      <c r="D376" s="2" t="s">
        <v>56</v>
      </c>
      <c r="E376" s="2" t="s">
        <v>857</v>
      </c>
      <c r="F376" s="2" t="s">
        <v>838</v>
      </c>
      <c r="I376" s="2" t="s">
        <v>832</v>
      </c>
      <c r="K376" s="2" t="s">
        <v>44</v>
      </c>
      <c r="L376" s="2" t="s">
        <v>833</v>
      </c>
      <c r="N376" s="2" t="s">
        <v>69</v>
      </c>
      <c r="O376" s="2">
        <v>52.0</v>
      </c>
      <c r="P376" s="2" t="s">
        <v>78</v>
      </c>
      <c r="Q376" s="2" t="s">
        <v>834</v>
      </c>
      <c r="AI376" s="2" t="str">
        <f t="shared" si="6"/>
        <v/>
      </c>
      <c r="AJ376" s="2" t="s">
        <v>49</v>
      </c>
      <c r="AK376" s="2" t="s">
        <v>50</v>
      </c>
    </row>
    <row r="377" ht="15.75" customHeight="1">
      <c r="A377" s="2" t="s">
        <v>39</v>
      </c>
      <c r="B377" s="3" t="str">
        <f>HYPERLINK("https://www.senado.gob.ar/parlamentario/comisiones/verExp/948.25/S/PL","948")</f>
        <v>948</v>
      </c>
      <c r="C377" s="3" t="str">
        <f>HYPERLINK("https://www.senado.gob.ar/parlamentario/comisiones/verExp/948.25/S/PL","2025")</f>
        <v>2025</v>
      </c>
      <c r="D377" s="2" t="s">
        <v>56</v>
      </c>
      <c r="E377" s="2" t="s">
        <v>858</v>
      </c>
      <c r="F377" s="2" t="s">
        <v>838</v>
      </c>
      <c r="I377" s="2" t="s">
        <v>832</v>
      </c>
      <c r="K377" s="2" t="s">
        <v>44</v>
      </c>
      <c r="L377" s="2" t="s">
        <v>833</v>
      </c>
      <c r="N377" s="2" t="s">
        <v>69</v>
      </c>
      <c r="O377" s="2">
        <v>78.0</v>
      </c>
      <c r="P377" s="2" t="s">
        <v>73</v>
      </c>
      <c r="Q377" s="2" t="s">
        <v>834</v>
      </c>
      <c r="S377" s="2">
        <v>54.0</v>
      </c>
      <c r="T377" s="2" t="s">
        <v>65</v>
      </c>
      <c r="U377" s="2" t="s">
        <v>834</v>
      </c>
      <c r="AI377" s="2" t="str">
        <f t="shared" si="6"/>
        <v/>
      </c>
      <c r="AJ377" s="2" t="s">
        <v>49</v>
      </c>
      <c r="AK377" s="2" t="s">
        <v>50</v>
      </c>
    </row>
    <row r="378" ht="15.75" customHeight="1">
      <c r="A378" s="2" t="s">
        <v>39</v>
      </c>
      <c r="B378" s="3" t="str">
        <f>HYPERLINK("https://www.senado.gob.ar/parlamentario/comisiones/verExp/947.25/S/PL","947")</f>
        <v>947</v>
      </c>
      <c r="C378" s="3" t="str">
        <f>HYPERLINK("https://www.senado.gob.ar/parlamentario/comisiones/verExp/947.25/S/PL","2025")</f>
        <v>2025</v>
      </c>
      <c r="D378" s="2" t="s">
        <v>56</v>
      </c>
      <c r="E378" s="2" t="s">
        <v>859</v>
      </c>
      <c r="F378" s="2" t="s">
        <v>860</v>
      </c>
      <c r="I378" s="2" t="s">
        <v>832</v>
      </c>
      <c r="K378" s="2" t="s">
        <v>44</v>
      </c>
      <c r="L378" s="2" t="s">
        <v>833</v>
      </c>
      <c r="N378" s="2" t="s">
        <v>69</v>
      </c>
      <c r="O378" s="2">
        <v>75.0</v>
      </c>
      <c r="P378" s="2" t="s">
        <v>71</v>
      </c>
      <c r="Q378" s="2" t="s">
        <v>834</v>
      </c>
      <c r="S378" s="2">
        <v>54.0</v>
      </c>
      <c r="T378" s="2" t="s">
        <v>65</v>
      </c>
      <c r="U378" s="2" t="s">
        <v>834</v>
      </c>
      <c r="AI378" s="2" t="str">
        <f t="shared" si="6"/>
        <v/>
      </c>
      <c r="AJ378" s="2" t="s">
        <v>49</v>
      </c>
      <c r="AK378" s="2" t="s">
        <v>50</v>
      </c>
    </row>
    <row r="379" ht="15.75" customHeight="1">
      <c r="A379" s="2" t="s">
        <v>39</v>
      </c>
      <c r="B379" s="3" t="str">
        <f>HYPERLINK("https://www.senado.gob.ar/parlamentario/comisiones/verExp/946.25/S/PL","946")</f>
        <v>946</v>
      </c>
      <c r="C379" s="3" t="str">
        <f>HYPERLINK("https://www.senado.gob.ar/parlamentario/comisiones/verExp/946.25/S/PL","2025")</f>
        <v>2025</v>
      </c>
      <c r="D379" s="2" t="s">
        <v>56</v>
      </c>
      <c r="E379" s="2" t="s">
        <v>861</v>
      </c>
      <c r="F379" s="2" t="s">
        <v>860</v>
      </c>
      <c r="I379" s="2" t="s">
        <v>832</v>
      </c>
      <c r="K379" s="2" t="s">
        <v>44</v>
      </c>
      <c r="L379" s="2" t="s">
        <v>833</v>
      </c>
      <c r="N379" s="2" t="s">
        <v>69</v>
      </c>
      <c r="O379" s="2">
        <v>61.0</v>
      </c>
      <c r="P379" s="2" t="s">
        <v>104</v>
      </c>
      <c r="Q379" s="2" t="s">
        <v>834</v>
      </c>
      <c r="AI379" s="2" t="str">
        <f t="shared" si="6"/>
        <v/>
      </c>
      <c r="AJ379" s="2" t="s">
        <v>49</v>
      </c>
      <c r="AK379" s="2" t="s">
        <v>50</v>
      </c>
    </row>
    <row r="380" ht="15.75" customHeight="1">
      <c r="A380" s="2" t="s">
        <v>39</v>
      </c>
      <c r="B380" s="3" t="str">
        <f>HYPERLINK("https://www.senado.gob.ar/parlamentario/comisiones/verExp/945.25/S/PL","945")</f>
        <v>945</v>
      </c>
      <c r="C380" s="3" t="str">
        <f>HYPERLINK("https://www.senado.gob.ar/parlamentario/comisiones/verExp/945.25/S/PL","2025")</f>
        <v>2025</v>
      </c>
      <c r="D380" s="2" t="s">
        <v>56</v>
      </c>
      <c r="E380" s="2" t="s">
        <v>862</v>
      </c>
      <c r="F380" s="2" t="s">
        <v>860</v>
      </c>
      <c r="I380" s="2" t="s">
        <v>832</v>
      </c>
      <c r="K380" s="2" t="s">
        <v>44</v>
      </c>
      <c r="L380" s="2" t="s">
        <v>833</v>
      </c>
      <c r="N380" s="2" t="s">
        <v>69</v>
      </c>
      <c r="O380" s="2">
        <v>70.0</v>
      </c>
      <c r="P380" s="2" t="s">
        <v>166</v>
      </c>
      <c r="Q380" s="2" t="s">
        <v>834</v>
      </c>
      <c r="S380" s="2">
        <v>54.0</v>
      </c>
      <c r="T380" s="2" t="s">
        <v>65</v>
      </c>
      <c r="U380" s="2" t="s">
        <v>834</v>
      </c>
      <c r="AI380" s="2" t="str">
        <f t="shared" si="6"/>
        <v/>
      </c>
      <c r="AJ380" s="2" t="s">
        <v>49</v>
      </c>
      <c r="AK380" s="2" t="s">
        <v>50</v>
      </c>
    </row>
    <row r="381" ht="15.75" customHeight="1">
      <c r="A381" s="2" t="s">
        <v>39</v>
      </c>
      <c r="B381" s="3" t="str">
        <f>HYPERLINK("https://www.senado.gob.ar/parlamentario/comisiones/verExp/944.25/S/PL","944")</f>
        <v>944</v>
      </c>
      <c r="C381" s="3" t="str">
        <f>HYPERLINK("https://www.senado.gob.ar/parlamentario/comisiones/verExp/944.25/S/PL","2025")</f>
        <v>2025</v>
      </c>
      <c r="D381" s="2" t="s">
        <v>56</v>
      </c>
      <c r="E381" s="2" t="s">
        <v>863</v>
      </c>
      <c r="F381" s="2" t="s">
        <v>860</v>
      </c>
      <c r="I381" s="2" t="s">
        <v>832</v>
      </c>
      <c r="K381" s="2" t="s">
        <v>44</v>
      </c>
      <c r="L381" s="2" t="s">
        <v>833</v>
      </c>
      <c r="N381" s="2" t="s">
        <v>69</v>
      </c>
      <c r="O381" s="2">
        <v>75.0</v>
      </c>
      <c r="P381" s="2" t="s">
        <v>71</v>
      </c>
      <c r="Q381" s="2" t="s">
        <v>834</v>
      </c>
      <c r="S381" s="2">
        <v>78.0</v>
      </c>
      <c r="T381" s="2" t="s">
        <v>73</v>
      </c>
      <c r="U381" s="2" t="s">
        <v>834</v>
      </c>
      <c r="W381" s="2">
        <v>54.0</v>
      </c>
      <c r="X381" s="2" t="s">
        <v>65</v>
      </c>
      <c r="Y381" s="2" t="s">
        <v>834</v>
      </c>
      <c r="AI381" s="2" t="str">
        <f t="shared" si="6"/>
        <v/>
      </c>
      <c r="AJ381" s="2" t="s">
        <v>49</v>
      </c>
      <c r="AK381" s="2" t="s">
        <v>50</v>
      </c>
    </row>
    <row r="382" ht="15.75" customHeight="1">
      <c r="A382" s="2" t="s">
        <v>39</v>
      </c>
      <c r="B382" s="3" t="str">
        <f>HYPERLINK("https://www.senado.gob.ar/parlamentario/comisiones/verExp/943.25/S/PL","943")</f>
        <v>943</v>
      </c>
      <c r="C382" s="3" t="str">
        <f>HYPERLINK("https://www.senado.gob.ar/parlamentario/comisiones/verExp/943.25/S/PL","2025")</f>
        <v>2025</v>
      </c>
      <c r="D382" s="2" t="s">
        <v>56</v>
      </c>
      <c r="E382" s="2" t="s">
        <v>864</v>
      </c>
      <c r="F382" s="2" t="s">
        <v>860</v>
      </c>
      <c r="I382" s="2" t="s">
        <v>832</v>
      </c>
      <c r="K382" s="2" t="s">
        <v>44</v>
      </c>
      <c r="L382" s="2" t="s">
        <v>833</v>
      </c>
      <c r="N382" s="2" t="s">
        <v>69</v>
      </c>
      <c r="O382" s="2">
        <v>61.0</v>
      </c>
      <c r="P382" s="2" t="s">
        <v>104</v>
      </c>
      <c r="Q382" s="2" t="s">
        <v>834</v>
      </c>
      <c r="AI382" s="2" t="str">
        <f t="shared" si="6"/>
        <v/>
      </c>
      <c r="AJ382" s="2" t="s">
        <v>49</v>
      </c>
      <c r="AK382" s="2" t="s">
        <v>50</v>
      </c>
    </row>
    <row r="383" ht="15.75" customHeight="1">
      <c r="A383" s="2" t="s">
        <v>39</v>
      </c>
      <c r="B383" s="3" t="str">
        <f>HYPERLINK("https://www.senado.gob.ar/parlamentario/comisiones/verExp/942.25/S/PL","942")</f>
        <v>942</v>
      </c>
      <c r="C383" s="3" t="str">
        <f>HYPERLINK("https://www.senado.gob.ar/parlamentario/comisiones/verExp/942.25/S/PL","2025")</f>
        <v>2025</v>
      </c>
      <c r="D383" s="2" t="s">
        <v>56</v>
      </c>
      <c r="E383" s="2" t="s">
        <v>865</v>
      </c>
      <c r="F383" s="2" t="s">
        <v>860</v>
      </c>
      <c r="I383" s="2" t="s">
        <v>832</v>
      </c>
      <c r="K383" s="2" t="s">
        <v>44</v>
      </c>
      <c r="L383" s="2" t="s">
        <v>833</v>
      </c>
      <c r="N383" s="2" t="s">
        <v>69</v>
      </c>
      <c r="O383" s="2">
        <v>53.0</v>
      </c>
      <c r="P383" s="2" t="s">
        <v>76</v>
      </c>
      <c r="Q383" s="2" t="s">
        <v>834</v>
      </c>
      <c r="S383" s="2">
        <v>75.0</v>
      </c>
      <c r="T383" s="2" t="s">
        <v>71</v>
      </c>
      <c r="U383" s="2" t="s">
        <v>834</v>
      </c>
      <c r="AI383" s="2" t="str">
        <f t="shared" si="6"/>
        <v/>
      </c>
      <c r="AJ383" s="2" t="s">
        <v>49</v>
      </c>
      <c r="AK383" s="2" t="s">
        <v>50</v>
      </c>
    </row>
    <row r="384" ht="15.75" customHeight="1">
      <c r="A384" s="2" t="s">
        <v>39</v>
      </c>
      <c r="B384" s="3" t="str">
        <f>HYPERLINK("https://www.senado.gob.ar/parlamentario/comisiones/verExp/941.25/S/PL","941")</f>
        <v>941</v>
      </c>
      <c r="C384" s="3" t="str">
        <f>HYPERLINK("https://www.senado.gob.ar/parlamentario/comisiones/verExp/941.25/S/PL","2025")</f>
        <v>2025</v>
      </c>
      <c r="D384" s="2" t="s">
        <v>56</v>
      </c>
      <c r="E384" s="2" t="s">
        <v>866</v>
      </c>
      <c r="F384" s="2" t="s">
        <v>860</v>
      </c>
      <c r="I384" s="2" t="s">
        <v>832</v>
      </c>
      <c r="K384" s="2" t="s">
        <v>44</v>
      </c>
      <c r="L384" s="2" t="s">
        <v>833</v>
      </c>
      <c r="N384" s="2" t="s">
        <v>69</v>
      </c>
      <c r="O384" s="2">
        <v>62.0</v>
      </c>
      <c r="P384" s="2" t="s">
        <v>205</v>
      </c>
      <c r="Q384" s="2" t="s">
        <v>834</v>
      </c>
      <c r="S384" s="2">
        <v>54.0</v>
      </c>
      <c r="T384" s="2" t="s">
        <v>65</v>
      </c>
      <c r="U384" s="2" t="s">
        <v>834</v>
      </c>
      <c r="AI384" s="2" t="str">
        <f t="shared" si="6"/>
        <v/>
      </c>
      <c r="AJ384" s="2" t="s">
        <v>49</v>
      </c>
      <c r="AK384" s="2" t="s">
        <v>50</v>
      </c>
    </row>
    <row r="385" ht="15.75" customHeight="1">
      <c r="A385" s="2" t="s">
        <v>39</v>
      </c>
      <c r="B385" s="3" t="str">
        <f>HYPERLINK("https://www.senado.gob.ar/parlamentario/comisiones/verExp/940.25/S/PL","940")</f>
        <v>940</v>
      </c>
      <c r="C385" s="3" t="str">
        <f>HYPERLINK("https://www.senado.gob.ar/parlamentario/comisiones/verExp/940.25/S/PL","2025")</f>
        <v>2025</v>
      </c>
      <c r="D385" s="2" t="s">
        <v>56</v>
      </c>
      <c r="E385" s="2" t="s">
        <v>867</v>
      </c>
      <c r="F385" s="2" t="s">
        <v>860</v>
      </c>
      <c r="I385" s="2" t="s">
        <v>832</v>
      </c>
      <c r="K385" s="2" t="s">
        <v>44</v>
      </c>
      <c r="L385" s="2" t="s">
        <v>833</v>
      </c>
      <c r="N385" s="2" t="s">
        <v>69</v>
      </c>
      <c r="O385" s="2">
        <v>75.0</v>
      </c>
      <c r="P385" s="2" t="s">
        <v>71</v>
      </c>
      <c r="Q385" s="2" t="s">
        <v>834</v>
      </c>
      <c r="AI385" s="2" t="str">
        <f t="shared" si="6"/>
        <v/>
      </c>
      <c r="AJ385" s="2" t="s">
        <v>49</v>
      </c>
      <c r="AK385" s="2" t="s">
        <v>50</v>
      </c>
    </row>
    <row r="386" ht="15.75" customHeight="1">
      <c r="A386" s="2" t="s">
        <v>39</v>
      </c>
      <c r="B386" s="3" t="str">
        <f>HYPERLINK("https://www.senado.gob.ar/parlamentario/comisiones/verExp/939.25/S/PL","939")</f>
        <v>939</v>
      </c>
      <c r="C386" s="3" t="str">
        <f>HYPERLINK("https://www.senado.gob.ar/parlamentario/comisiones/verExp/939.25/S/PL","2025")</f>
        <v>2025</v>
      </c>
      <c r="D386" s="2" t="s">
        <v>56</v>
      </c>
      <c r="E386" s="2" t="s">
        <v>868</v>
      </c>
      <c r="F386" s="2" t="s">
        <v>860</v>
      </c>
      <c r="I386" s="2" t="s">
        <v>832</v>
      </c>
      <c r="K386" s="2" t="s">
        <v>44</v>
      </c>
      <c r="L386" s="2" t="s">
        <v>833</v>
      </c>
      <c r="N386" s="2" t="s">
        <v>69</v>
      </c>
      <c r="O386" s="2">
        <v>50.0</v>
      </c>
      <c r="P386" s="2" t="s">
        <v>47</v>
      </c>
      <c r="Q386" s="2" t="s">
        <v>834</v>
      </c>
      <c r="S386" s="2">
        <v>51.0</v>
      </c>
      <c r="T386" s="2" t="s">
        <v>62</v>
      </c>
      <c r="U386" s="2" t="s">
        <v>834</v>
      </c>
      <c r="AI386" s="2" t="str">
        <f t="shared" si="6"/>
        <v/>
      </c>
      <c r="AJ386" s="2" t="s">
        <v>49</v>
      </c>
      <c r="AK386" s="2" t="s">
        <v>50</v>
      </c>
    </row>
    <row r="387" ht="15.75" customHeight="1">
      <c r="A387" s="2" t="s">
        <v>39</v>
      </c>
      <c r="B387" s="3" t="str">
        <f>HYPERLINK("https://www.senado.gob.ar/parlamentario/comisiones/verExp/938.25/S/PL","938")</f>
        <v>938</v>
      </c>
      <c r="C387" s="3" t="str">
        <f>HYPERLINK("https://www.senado.gob.ar/parlamentario/comisiones/verExp/938.25/S/PL","2025")</f>
        <v>2025</v>
      </c>
      <c r="D387" s="2" t="s">
        <v>56</v>
      </c>
      <c r="E387" s="2" t="s">
        <v>869</v>
      </c>
      <c r="F387" s="2" t="s">
        <v>860</v>
      </c>
      <c r="I387" s="2" t="s">
        <v>832</v>
      </c>
      <c r="K387" s="2" t="s">
        <v>44</v>
      </c>
      <c r="L387" s="2" t="s">
        <v>833</v>
      </c>
      <c r="N387" s="2" t="s">
        <v>69</v>
      </c>
      <c r="O387" s="2">
        <v>78.0</v>
      </c>
      <c r="P387" s="2" t="s">
        <v>73</v>
      </c>
      <c r="Q387" s="2" t="s">
        <v>834</v>
      </c>
      <c r="S387" s="2">
        <v>61.0</v>
      </c>
      <c r="T387" s="2" t="s">
        <v>104</v>
      </c>
      <c r="U387" s="2" t="s">
        <v>834</v>
      </c>
      <c r="W387" s="2">
        <v>75.0</v>
      </c>
      <c r="X387" s="2" t="s">
        <v>71</v>
      </c>
      <c r="Y387" s="2" t="s">
        <v>834</v>
      </c>
      <c r="AI387" s="2" t="str">
        <f t="shared" si="6"/>
        <v/>
      </c>
      <c r="AJ387" s="2" t="s">
        <v>49</v>
      </c>
      <c r="AK387" s="2" t="s">
        <v>50</v>
      </c>
    </row>
    <row r="388" ht="15.75" customHeight="1">
      <c r="A388" s="2" t="s">
        <v>39</v>
      </c>
      <c r="B388" s="3" t="str">
        <f>HYPERLINK("https://www.senado.gob.ar/parlamentario/comisiones/verExp/937.25/S/PL","937")</f>
        <v>937</v>
      </c>
      <c r="C388" s="3" t="str">
        <f>HYPERLINK("https://www.senado.gob.ar/parlamentario/comisiones/verExp/937.25/S/PL","2025")</f>
        <v>2025</v>
      </c>
      <c r="D388" s="2" t="s">
        <v>56</v>
      </c>
      <c r="E388" s="2" t="s">
        <v>870</v>
      </c>
      <c r="F388" s="2" t="s">
        <v>860</v>
      </c>
      <c r="I388" s="2" t="s">
        <v>832</v>
      </c>
      <c r="K388" s="2" t="s">
        <v>44</v>
      </c>
      <c r="L388" s="2" t="s">
        <v>833</v>
      </c>
      <c r="N388" s="2" t="s">
        <v>69</v>
      </c>
      <c r="O388" s="2">
        <v>51.0</v>
      </c>
      <c r="P388" s="2" t="s">
        <v>62</v>
      </c>
      <c r="Q388" s="2" t="s">
        <v>834</v>
      </c>
      <c r="AI388" s="2" t="str">
        <f t="shared" si="6"/>
        <v/>
      </c>
      <c r="AJ388" s="2" t="s">
        <v>49</v>
      </c>
      <c r="AK388" s="2" t="s">
        <v>50</v>
      </c>
    </row>
    <row r="389" ht="15.75" customHeight="1">
      <c r="A389" s="2" t="s">
        <v>39</v>
      </c>
      <c r="B389" s="3" t="str">
        <f>HYPERLINK("https://www.senado.gob.ar/parlamentario/comisiones/verExp/936.25/S/PL","936")</f>
        <v>936</v>
      </c>
      <c r="C389" s="3" t="str">
        <f>HYPERLINK("https://www.senado.gob.ar/parlamentario/comisiones/verExp/936.25/S/PL","2025")</f>
        <v>2025</v>
      </c>
      <c r="D389" s="2" t="s">
        <v>56</v>
      </c>
      <c r="E389" s="2" t="s">
        <v>871</v>
      </c>
      <c r="F389" s="2" t="s">
        <v>860</v>
      </c>
      <c r="I389" s="2" t="s">
        <v>832</v>
      </c>
      <c r="K389" s="2" t="s">
        <v>44</v>
      </c>
      <c r="L389" s="2" t="s">
        <v>833</v>
      </c>
      <c r="N389" s="2" t="s">
        <v>69</v>
      </c>
      <c r="O389" s="2">
        <v>60.0</v>
      </c>
      <c r="P389" s="2" t="s">
        <v>64</v>
      </c>
      <c r="Q389" s="2" t="s">
        <v>834</v>
      </c>
      <c r="S389" s="2">
        <v>50.0</v>
      </c>
      <c r="T389" s="2" t="s">
        <v>47</v>
      </c>
      <c r="U389" s="2" t="s">
        <v>834</v>
      </c>
      <c r="W389" s="2">
        <v>54.0</v>
      </c>
      <c r="X389" s="2" t="s">
        <v>65</v>
      </c>
      <c r="Y389" s="2" t="s">
        <v>834</v>
      </c>
      <c r="AI389" s="2" t="str">
        <f t="shared" si="6"/>
        <v/>
      </c>
      <c r="AJ389" s="2" t="s">
        <v>49</v>
      </c>
      <c r="AK389" s="2" t="s">
        <v>50</v>
      </c>
    </row>
    <row r="390" ht="15.75" customHeight="1">
      <c r="A390" s="2" t="s">
        <v>39</v>
      </c>
      <c r="B390" s="3" t="str">
        <f>HYPERLINK("https://www.senado.gob.ar/parlamentario/comisiones/verExp/935.25/S/PL","935")</f>
        <v>935</v>
      </c>
      <c r="C390" s="3" t="str">
        <f>HYPERLINK("https://www.senado.gob.ar/parlamentario/comisiones/verExp/935.25/S/PL","2025")</f>
        <v>2025</v>
      </c>
      <c r="D390" s="2" t="s">
        <v>56</v>
      </c>
      <c r="E390" s="2" t="s">
        <v>872</v>
      </c>
      <c r="F390" s="2" t="s">
        <v>860</v>
      </c>
      <c r="I390" s="2" t="s">
        <v>832</v>
      </c>
      <c r="K390" s="2" t="s">
        <v>44</v>
      </c>
      <c r="L390" s="2" t="s">
        <v>833</v>
      </c>
      <c r="N390" s="2" t="s">
        <v>69</v>
      </c>
      <c r="O390" s="2">
        <v>61.0</v>
      </c>
      <c r="P390" s="2" t="s">
        <v>104</v>
      </c>
      <c r="Q390" s="2" t="s">
        <v>834</v>
      </c>
      <c r="S390" s="2">
        <v>77.0</v>
      </c>
      <c r="T390" s="2" t="s">
        <v>70</v>
      </c>
      <c r="U390" s="2" t="s">
        <v>834</v>
      </c>
      <c r="AI390" s="2" t="str">
        <f t="shared" si="6"/>
        <v/>
      </c>
      <c r="AJ390" s="2" t="s">
        <v>49</v>
      </c>
      <c r="AK390" s="2" t="s">
        <v>50</v>
      </c>
    </row>
    <row r="391" ht="15.75" customHeight="1">
      <c r="A391" s="2" t="s">
        <v>39</v>
      </c>
      <c r="B391" s="3" t="str">
        <f>HYPERLINK("https://www.senado.gob.ar/parlamentario/comisiones/verExp/934.25/S/PL","934")</f>
        <v>934</v>
      </c>
      <c r="C391" s="3" t="str">
        <f>HYPERLINK("https://www.senado.gob.ar/parlamentario/comisiones/verExp/934.25/S/PL","2025")</f>
        <v>2025</v>
      </c>
      <c r="D391" s="2" t="s">
        <v>56</v>
      </c>
      <c r="E391" s="2" t="s">
        <v>873</v>
      </c>
      <c r="F391" s="2" t="s">
        <v>860</v>
      </c>
      <c r="I391" s="2" t="s">
        <v>832</v>
      </c>
      <c r="K391" s="2" t="s">
        <v>44</v>
      </c>
      <c r="L391" s="2" t="s">
        <v>833</v>
      </c>
      <c r="N391" s="2" t="s">
        <v>69</v>
      </c>
      <c r="O391" s="2">
        <v>75.0</v>
      </c>
      <c r="P391" s="2" t="s">
        <v>71</v>
      </c>
      <c r="Q391" s="2" t="s">
        <v>834</v>
      </c>
      <c r="AI391" s="2" t="str">
        <f t="shared" si="6"/>
        <v/>
      </c>
      <c r="AJ391" s="2" t="s">
        <v>49</v>
      </c>
      <c r="AK391" s="2" t="s">
        <v>50</v>
      </c>
    </row>
    <row r="392" ht="15.75" customHeight="1">
      <c r="A392" s="2" t="s">
        <v>39</v>
      </c>
      <c r="B392" s="3" t="str">
        <f>HYPERLINK("https://www.senado.gob.ar/parlamentario/comisiones/verExp/933.25/S/PL","933")</f>
        <v>933</v>
      </c>
      <c r="C392" s="3" t="str">
        <f>HYPERLINK("https://www.senado.gob.ar/parlamentario/comisiones/verExp/933.25/S/PL","2025")</f>
        <v>2025</v>
      </c>
      <c r="D392" s="2" t="s">
        <v>56</v>
      </c>
      <c r="E392" s="2" t="s">
        <v>874</v>
      </c>
      <c r="F392" s="2" t="s">
        <v>860</v>
      </c>
      <c r="I392" s="2" t="s">
        <v>832</v>
      </c>
      <c r="K392" s="2" t="s">
        <v>44</v>
      </c>
      <c r="L392" s="2" t="s">
        <v>833</v>
      </c>
      <c r="N392" s="2" t="s">
        <v>69</v>
      </c>
      <c r="O392" s="2">
        <v>75.0</v>
      </c>
      <c r="P392" s="2" t="s">
        <v>71</v>
      </c>
      <c r="Q392" s="2" t="s">
        <v>834</v>
      </c>
      <c r="AI392" s="2" t="str">
        <f t="shared" si="6"/>
        <v/>
      </c>
      <c r="AJ392" s="2" t="s">
        <v>49</v>
      </c>
      <c r="AK392" s="2" t="s">
        <v>50</v>
      </c>
    </row>
    <row r="393" ht="15.75" customHeight="1">
      <c r="A393" s="2" t="s">
        <v>39</v>
      </c>
      <c r="B393" s="3" t="str">
        <f>HYPERLINK("https://www.senado.gob.ar/parlamentario/comisiones/verExp/932.25/S/PL","932")</f>
        <v>932</v>
      </c>
      <c r="C393" s="3" t="str">
        <f>HYPERLINK("https://www.senado.gob.ar/parlamentario/comisiones/verExp/932.25/S/PL","2025")</f>
        <v>2025</v>
      </c>
      <c r="D393" s="2" t="s">
        <v>56</v>
      </c>
      <c r="E393" s="2" t="s">
        <v>875</v>
      </c>
      <c r="F393" s="2" t="s">
        <v>860</v>
      </c>
      <c r="I393" s="2" t="s">
        <v>832</v>
      </c>
      <c r="K393" s="2" t="s">
        <v>44</v>
      </c>
      <c r="L393" s="2" t="s">
        <v>833</v>
      </c>
      <c r="N393" s="2" t="s">
        <v>69</v>
      </c>
      <c r="O393" s="2">
        <v>61.0</v>
      </c>
      <c r="P393" s="2" t="s">
        <v>104</v>
      </c>
      <c r="Q393" s="2" t="s">
        <v>834</v>
      </c>
      <c r="S393" s="2">
        <v>53.0</v>
      </c>
      <c r="T393" s="2" t="s">
        <v>76</v>
      </c>
      <c r="U393" s="2" t="s">
        <v>834</v>
      </c>
      <c r="AI393" s="2" t="str">
        <f t="shared" si="6"/>
        <v/>
      </c>
      <c r="AJ393" s="2" t="s">
        <v>49</v>
      </c>
      <c r="AK393" s="2" t="s">
        <v>50</v>
      </c>
    </row>
    <row r="394" ht="15.75" customHeight="1">
      <c r="A394" s="2" t="s">
        <v>39</v>
      </c>
      <c r="B394" s="3" t="str">
        <f>HYPERLINK("https://www.senado.gob.ar/parlamentario/comisiones/verExp/929.25/S/PL","929")</f>
        <v>929</v>
      </c>
      <c r="C394" s="3" t="str">
        <f>HYPERLINK("https://www.senado.gob.ar/parlamentario/comisiones/verExp/929.25/S/PL","2025")</f>
        <v>2025</v>
      </c>
      <c r="D394" s="2" t="s">
        <v>56</v>
      </c>
      <c r="E394" s="2" t="s">
        <v>876</v>
      </c>
      <c r="F394" s="2" t="s">
        <v>860</v>
      </c>
      <c r="I394" s="2" t="s">
        <v>832</v>
      </c>
      <c r="K394" s="2" t="s">
        <v>593</v>
      </c>
      <c r="L394" s="2" t="s">
        <v>877</v>
      </c>
      <c r="N394" s="2" t="s">
        <v>878</v>
      </c>
      <c r="O394" s="2">
        <v>72.0</v>
      </c>
      <c r="P394" s="2" t="s">
        <v>243</v>
      </c>
      <c r="Q394" s="2" t="s">
        <v>879</v>
      </c>
      <c r="S394" s="2">
        <v>60.0</v>
      </c>
      <c r="T394" s="2" t="s">
        <v>64</v>
      </c>
      <c r="U394" s="2" t="s">
        <v>879</v>
      </c>
      <c r="W394" s="2">
        <v>54.0</v>
      </c>
      <c r="X394" s="2" t="s">
        <v>65</v>
      </c>
      <c r="Y394" s="2" t="s">
        <v>879</v>
      </c>
      <c r="AI394" s="2" t="str">
        <f t="shared" si="6"/>
        <v/>
      </c>
      <c r="AJ394" s="2" t="s">
        <v>49</v>
      </c>
      <c r="AK394" s="2" t="s">
        <v>50</v>
      </c>
    </row>
    <row r="395" ht="15.75" customHeight="1">
      <c r="A395" s="2" t="s">
        <v>39</v>
      </c>
      <c r="B395" s="3" t="str">
        <f>HYPERLINK("https://www.senado.gob.ar/parlamentario/comisiones/verExp/928.25/S/PL","928")</f>
        <v>928</v>
      </c>
      <c r="C395" s="3" t="str">
        <f>HYPERLINK("https://www.senado.gob.ar/parlamentario/comisiones/verExp/928.25/S/PL","2025")</f>
        <v>2025</v>
      </c>
      <c r="D395" s="2" t="s">
        <v>56</v>
      </c>
      <c r="E395" s="2" t="s">
        <v>880</v>
      </c>
      <c r="F395" s="2" t="s">
        <v>860</v>
      </c>
      <c r="I395" s="2" t="s">
        <v>832</v>
      </c>
      <c r="K395" s="2" t="s">
        <v>44</v>
      </c>
      <c r="L395" s="2" t="s">
        <v>833</v>
      </c>
      <c r="N395" s="2" t="s">
        <v>881</v>
      </c>
      <c r="O395" s="2">
        <v>65.0</v>
      </c>
      <c r="P395" s="2" t="s">
        <v>153</v>
      </c>
      <c r="Q395" s="2" t="s">
        <v>834</v>
      </c>
      <c r="S395" s="2">
        <v>53.0</v>
      </c>
      <c r="T395" s="2" t="s">
        <v>76</v>
      </c>
      <c r="U395" s="2" t="s">
        <v>834</v>
      </c>
      <c r="W395" s="2">
        <v>54.0</v>
      </c>
      <c r="X395" s="2" t="s">
        <v>65</v>
      </c>
      <c r="Y395" s="2" t="s">
        <v>834</v>
      </c>
      <c r="AI395" s="2" t="str">
        <f t="shared" si="6"/>
        <v/>
      </c>
      <c r="AJ395" s="2" t="s">
        <v>49</v>
      </c>
      <c r="AK395" s="2" t="s">
        <v>50</v>
      </c>
    </row>
    <row r="396" ht="15.75" customHeight="1">
      <c r="A396" s="2" t="s">
        <v>39</v>
      </c>
      <c r="B396" s="3" t="str">
        <f>HYPERLINK("https://www.senado.gob.ar/parlamentario/comisiones/verExp/926.25/S/PL","926")</f>
        <v>926</v>
      </c>
      <c r="C396" s="3" t="str">
        <f>HYPERLINK("https://www.senado.gob.ar/parlamentario/comisiones/verExp/926.25/S/PL","2025")</f>
        <v>2025</v>
      </c>
      <c r="D396" s="2" t="s">
        <v>56</v>
      </c>
      <c r="E396" s="2" t="s">
        <v>882</v>
      </c>
      <c r="F396" s="2" t="s">
        <v>883</v>
      </c>
      <c r="I396" s="2" t="s">
        <v>884</v>
      </c>
      <c r="K396" s="2" t="s">
        <v>597</v>
      </c>
      <c r="L396" s="2" t="s">
        <v>885</v>
      </c>
      <c r="N396" s="2" t="s">
        <v>577</v>
      </c>
      <c r="O396" s="2">
        <v>75.0</v>
      </c>
      <c r="P396" s="2" t="s">
        <v>71</v>
      </c>
      <c r="Q396" s="2" t="s">
        <v>886</v>
      </c>
      <c r="R396" s="2" t="s">
        <v>450</v>
      </c>
      <c r="S396" s="2">
        <v>75.0</v>
      </c>
      <c r="T396" s="2" t="s">
        <v>71</v>
      </c>
      <c r="U396" s="2" t="s">
        <v>659</v>
      </c>
      <c r="AI396" s="3" t="str">
        <f>HYPERLINK("https://www.senado.gob.ar/parlamentario/parlamentaria/ordenDelDiaResultadoLink/2025/582"," 582 2025 RB -")</f>
        <v> 582 2025 RB -</v>
      </c>
      <c r="AJ396" s="2" t="s">
        <v>49</v>
      </c>
      <c r="AK396" s="2" t="s">
        <v>50</v>
      </c>
    </row>
    <row r="397" ht="15.75" customHeight="1">
      <c r="A397" s="2" t="s">
        <v>39</v>
      </c>
      <c r="B397" s="3" t="str">
        <f>HYPERLINK("https://www.senado.gob.ar/parlamentario/comisiones/verExp/925.25/S/PL","925")</f>
        <v>925</v>
      </c>
      <c r="C397" s="3" t="str">
        <f>HYPERLINK("https://www.senado.gob.ar/parlamentario/comisiones/verExp/925.25/S/PL","2025")</f>
        <v>2025</v>
      </c>
      <c r="D397" s="2" t="s">
        <v>56</v>
      </c>
      <c r="E397" s="2" t="s">
        <v>887</v>
      </c>
      <c r="F397" s="2" t="s">
        <v>883</v>
      </c>
      <c r="I397" s="2" t="s">
        <v>884</v>
      </c>
      <c r="K397" s="2" t="s">
        <v>44</v>
      </c>
      <c r="L397" s="2" t="s">
        <v>833</v>
      </c>
      <c r="N397" s="2" t="s">
        <v>888</v>
      </c>
      <c r="O397" s="2">
        <v>78.0</v>
      </c>
      <c r="P397" s="2" t="s">
        <v>73</v>
      </c>
      <c r="Q397" s="2" t="s">
        <v>834</v>
      </c>
      <c r="S397" s="2">
        <v>53.0</v>
      </c>
      <c r="T397" s="2" t="s">
        <v>76</v>
      </c>
      <c r="U397" s="2" t="s">
        <v>834</v>
      </c>
      <c r="AI397" s="2" t="str">
        <f t="shared" ref="AI397:AI407" si="7">HYPERLINK("","")</f>
        <v/>
      </c>
      <c r="AJ397" s="2" t="s">
        <v>49</v>
      </c>
      <c r="AK397" s="2" t="s">
        <v>50</v>
      </c>
    </row>
    <row r="398" ht="15.75" customHeight="1">
      <c r="A398" s="2" t="s">
        <v>39</v>
      </c>
      <c r="B398" s="3" t="str">
        <f>HYPERLINK("https://www.senado.gob.ar/parlamentario/comisiones/verExp/924.25/S/PL","924")</f>
        <v>924</v>
      </c>
      <c r="C398" s="3" t="str">
        <f>HYPERLINK("https://www.senado.gob.ar/parlamentario/comisiones/verExp/924.25/S/PL","2025")</f>
        <v>2025</v>
      </c>
      <c r="D398" s="2" t="s">
        <v>56</v>
      </c>
      <c r="E398" s="2" t="s">
        <v>889</v>
      </c>
      <c r="F398" s="2" t="s">
        <v>883</v>
      </c>
      <c r="I398" s="2" t="s">
        <v>884</v>
      </c>
      <c r="K398" s="2" t="s">
        <v>44</v>
      </c>
      <c r="L398" s="2" t="s">
        <v>833</v>
      </c>
      <c r="N398" s="2" t="s">
        <v>888</v>
      </c>
      <c r="O398" s="2">
        <v>52.0</v>
      </c>
      <c r="P398" s="2" t="s">
        <v>78</v>
      </c>
      <c r="Q398" s="2" t="s">
        <v>834</v>
      </c>
      <c r="S398" s="2">
        <v>68.0</v>
      </c>
      <c r="T398" s="2" t="s">
        <v>180</v>
      </c>
      <c r="U398" s="2" t="s">
        <v>834</v>
      </c>
      <c r="AI398" s="2" t="str">
        <f t="shared" si="7"/>
        <v/>
      </c>
      <c r="AJ398" s="2" t="s">
        <v>49</v>
      </c>
      <c r="AK398" s="2" t="s">
        <v>50</v>
      </c>
    </row>
    <row r="399" ht="15.75" customHeight="1">
      <c r="A399" s="2" t="s">
        <v>39</v>
      </c>
      <c r="B399" s="3" t="str">
        <f>HYPERLINK("https://www.senado.gob.ar/parlamentario/comisiones/verExp/923.25/S/PL","923")</f>
        <v>923</v>
      </c>
      <c r="C399" s="3" t="str">
        <f>HYPERLINK("https://www.senado.gob.ar/parlamentario/comisiones/verExp/923.25/S/PL","2025")</f>
        <v>2025</v>
      </c>
      <c r="D399" s="2" t="s">
        <v>56</v>
      </c>
      <c r="E399" s="2" t="s">
        <v>890</v>
      </c>
      <c r="F399" s="2" t="s">
        <v>883</v>
      </c>
      <c r="I399" s="2" t="s">
        <v>884</v>
      </c>
      <c r="K399" s="2" t="s">
        <v>44</v>
      </c>
      <c r="L399" s="2" t="s">
        <v>833</v>
      </c>
      <c r="N399" s="2" t="s">
        <v>888</v>
      </c>
      <c r="O399" s="2">
        <v>52.0</v>
      </c>
      <c r="P399" s="2" t="s">
        <v>78</v>
      </c>
      <c r="Q399" s="2" t="s">
        <v>834</v>
      </c>
      <c r="S399" s="2">
        <v>68.0</v>
      </c>
      <c r="T399" s="2" t="s">
        <v>180</v>
      </c>
      <c r="U399" s="2" t="s">
        <v>834</v>
      </c>
      <c r="AI399" s="2" t="str">
        <f t="shared" si="7"/>
        <v/>
      </c>
      <c r="AJ399" s="2" t="s">
        <v>49</v>
      </c>
      <c r="AK399" s="2" t="s">
        <v>50</v>
      </c>
    </row>
    <row r="400" ht="15.75" customHeight="1">
      <c r="A400" s="2" t="s">
        <v>39</v>
      </c>
      <c r="B400" s="3" t="str">
        <f>HYPERLINK("https://www.senado.gob.ar/parlamentario/comisiones/verExp/922.25/S/PL","922")</f>
        <v>922</v>
      </c>
      <c r="C400" s="3" t="str">
        <f>HYPERLINK("https://www.senado.gob.ar/parlamentario/comisiones/verExp/922.25/S/PL","2025")</f>
        <v>2025</v>
      </c>
      <c r="D400" s="2" t="s">
        <v>56</v>
      </c>
      <c r="E400" s="2" t="s">
        <v>891</v>
      </c>
      <c r="F400" s="2" t="s">
        <v>883</v>
      </c>
      <c r="I400" s="2" t="s">
        <v>884</v>
      </c>
      <c r="K400" s="2" t="s">
        <v>44</v>
      </c>
      <c r="L400" s="2" t="s">
        <v>833</v>
      </c>
      <c r="N400" s="2" t="s">
        <v>437</v>
      </c>
      <c r="O400" s="2">
        <v>53.0</v>
      </c>
      <c r="P400" s="2" t="s">
        <v>76</v>
      </c>
      <c r="Q400" s="2" t="s">
        <v>834</v>
      </c>
      <c r="S400" s="2">
        <v>70.0</v>
      </c>
      <c r="T400" s="2" t="s">
        <v>166</v>
      </c>
      <c r="U400" s="2" t="s">
        <v>834</v>
      </c>
      <c r="AI400" s="2" t="str">
        <f t="shared" si="7"/>
        <v/>
      </c>
      <c r="AJ400" s="2" t="s">
        <v>49</v>
      </c>
      <c r="AK400" s="2" t="s">
        <v>50</v>
      </c>
    </row>
    <row r="401" ht="15.75" customHeight="1">
      <c r="A401" s="2" t="s">
        <v>39</v>
      </c>
      <c r="B401" s="3" t="str">
        <f>HYPERLINK("https://www.senado.gob.ar/parlamentario/comisiones/verExp/921.25/S/PL","921")</f>
        <v>921</v>
      </c>
      <c r="C401" s="3" t="str">
        <f>HYPERLINK("https://www.senado.gob.ar/parlamentario/comisiones/verExp/921.25/S/PL","2025")</f>
        <v>2025</v>
      </c>
      <c r="D401" s="2" t="s">
        <v>56</v>
      </c>
      <c r="E401" s="2" t="s">
        <v>892</v>
      </c>
      <c r="F401" s="2" t="s">
        <v>883</v>
      </c>
      <c r="I401" s="2" t="s">
        <v>884</v>
      </c>
      <c r="K401" s="2" t="s">
        <v>44</v>
      </c>
      <c r="L401" s="2" t="s">
        <v>833</v>
      </c>
      <c r="N401" s="2" t="s">
        <v>437</v>
      </c>
      <c r="O401" s="2">
        <v>53.0</v>
      </c>
      <c r="P401" s="2" t="s">
        <v>76</v>
      </c>
      <c r="Q401" s="2" t="s">
        <v>834</v>
      </c>
      <c r="S401" s="2">
        <v>75.0</v>
      </c>
      <c r="T401" s="2" t="s">
        <v>71</v>
      </c>
      <c r="U401" s="2" t="s">
        <v>834</v>
      </c>
      <c r="W401" s="2">
        <v>54.0</v>
      </c>
      <c r="X401" s="2" t="s">
        <v>65</v>
      </c>
      <c r="Y401" s="2" t="s">
        <v>834</v>
      </c>
      <c r="AI401" s="2" t="str">
        <f t="shared" si="7"/>
        <v/>
      </c>
      <c r="AJ401" s="2" t="s">
        <v>49</v>
      </c>
      <c r="AK401" s="2" t="s">
        <v>50</v>
      </c>
    </row>
    <row r="402" ht="15.75" customHeight="1">
      <c r="A402" s="2" t="s">
        <v>39</v>
      </c>
      <c r="B402" s="3" t="str">
        <f>HYPERLINK("https://www.senado.gob.ar/parlamentario/comisiones/verExp/913.25/S/PL","913")</f>
        <v>913</v>
      </c>
      <c r="C402" s="3" t="str">
        <f>HYPERLINK("https://www.senado.gob.ar/parlamentario/comisiones/verExp/913.25/S/PL","2025")</f>
        <v>2025</v>
      </c>
      <c r="D402" s="2" t="s">
        <v>56</v>
      </c>
      <c r="E402" s="2" t="s">
        <v>893</v>
      </c>
      <c r="F402" s="2" t="s">
        <v>883</v>
      </c>
      <c r="I402" s="2" t="s">
        <v>894</v>
      </c>
      <c r="K402" s="2" t="s">
        <v>44</v>
      </c>
      <c r="L402" s="2" t="s">
        <v>833</v>
      </c>
      <c r="N402" s="2" t="s">
        <v>666</v>
      </c>
      <c r="O402" s="2">
        <v>76.0</v>
      </c>
      <c r="P402" s="2" t="s">
        <v>233</v>
      </c>
      <c r="Q402" s="2" t="s">
        <v>834</v>
      </c>
      <c r="S402" s="2">
        <v>77.0</v>
      </c>
      <c r="T402" s="2" t="s">
        <v>70</v>
      </c>
      <c r="U402" s="2" t="s">
        <v>834</v>
      </c>
      <c r="W402" s="2">
        <v>52.0</v>
      </c>
      <c r="X402" s="2" t="s">
        <v>78</v>
      </c>
      <c r="Y402" s="2" t="s">
        <v>834</v>
      </c>
      <c r="AI402" s="2" t="str">
        <f t="shared" si="7"/>
        <v/>
      </c>
      <c r="AJ402" s="2" t="s">
        <v>49</v>
      </c>
      <c r="AK402" s="2" t="s">
        <v>50</v>
      </c>
    </row>
    <row r="403" ht="15.75" customHeight="1">
      <c r="A403" s="2" t="s">
        <v>39</v>
      </c>
      <c r="B403" s="3" t="str">
        <f>HYPERLINK("https://www.senado.gob.ar/parlamentario/comisiones/verExp/911.25/S/PL","911")</f>
        <v>911</v>
      </c>
      <c r="C403" s="3" t="str">
        <f>HYPERLINK("https://www.senado.gob.ar/parlamentario/comisiones/verExp/911.25/S/PL","2025")</f>
        <v>2025</v>
      </c>
      <c r="D403" s="2" t="s">
        <v>56</v>
      </c>
      <c r="E403" s="2" t="s">
        <v>895</v>
      </c>
      <c r="F403" s="2" t="s">
        <v>883</v>
      </c>
      <c r="I403" s="2" t="s">
        <v>894</v>
      </c>
      <c r="K403" s="2" t="s">
        <v>44</v>
      </c>
      <c r="L403" s="2" t="s">
        <v>833</v>
      </c>
      <c r="N403" s="2" t="s">
        <v>666</v>
      </c>
      <c r="O403" s="2">
        <v>76.0</v>
      </c>
      <c r="P403" s="2" t="s">
        <v>233</v>
      </c>
      <c r="Q403" s="2" t="s">
        <v>834</v>
      </c>
      <c r="S403" s="2">
        <v>77.0</v>
      </c>
      <c r="T403" s="2" t="s">
        <v>70</v>
      </c>
      <c r="U403" s="2" t="s">
        <v>834</v>
      </c>
      <c r="AI403" s="2" t="str">
        <f t="shared" si="7"/>
        <v/>
      </c>
      <c r="AJ403" s="2" t="s">
        <v>49</v>
      </c>
      <c r="AK403" s="2" t="s">
        <v>50</v>
      </c>
    </row>
    <row r="404" ht="15.75" customHeight="1">
      <c r="A404" s="2" t="s">
        <v>39</v>
      </c>
      <c r="B404" s="3" t="str">
        <f>HYPERLINK("https://www.senado.gob.ar/parlamentario/comisiones/verExp/904.25/S/PR","904")</f>
        <v>904</v>
      </c>
      <c r="C404" s="3" t="str">
        <f>HYPERLINK("https://www.senado.gob.ar/parlamentario/comisiones/verExp/904.25/S/PR","2025")</f>
        <v>2025</v>
      </c>
      <c r="D404" s="2" t="s">
        <v>145</v>
      </c>
      <c r="E404" s="2" t="s">
        <v>896</v>
      </c>
      <c r="F404" s="2" t="s">
        <v>897</v>
      </c>
      <c r="I404" s="2" t="s">
        <v>898</v>
      </c>
      <c r="K404" s="2" t="s">
        <v>44</v>
      </c>
      <c r="L404" s="2" t="s">
        <v>833</v>
      </c>
      <c r="N404" s="2" t="s">
        <v>899</v>
      </c>
      <c r="O404" s="2">
        <v>50.0</v>
      </c>
      <c r="P404" s="2" t="s">
        <v>47</v>
      </c>
      <c r="Q404" s="2" t="s">
        <v>834</v>
      </c>
      <c r="S404" s="2">
        <v>52.0</v>
      </c>
      <c r="T404" s="2" t="s">
        <v>78</v>
      </c>
      <c r="U404" s="2" t="s">
        <v>834</v>
      </c>
      <c r="AI404" s="2" t="str">
        <f t="shared" si="7"/>
        <v/>
      </c>
      <c r="AJ404" s="2" t="s">
        <v>49</v>
      </c>
      <c r="AK404" s="2" t="s">
        <v>50</v>
      </c>
    </row>
    <row r="405" ht="15.75" customHeight="1">
      <c r="A405" s="2" t="s">
        <v>39</v>
      </c>
      <c r="B405" s="3" t="str">
        <f>HYPERLINK("https://www.senado.gob.ar/parlamentario/comisiones/verExp/903.25/S/PL","903")</f>
        <v>903</v>
      </c>
      <c r="C405" s="3" t="str">
        <f>HYPERLINK("https://www.senado.gob.ar/parlamentario/comisiones/verExp/903.25/S/PL","2025")</f>
        <v>2025</v>
      </c>
      <c r="D405" s="2" t="s">
        <v>56</v>
      </c>
      <c r="E405" s="2" t="s">
        <v>900</v>
      </c>
      <c r="F405" s="2" t="s">
        <v>897</v>
      </c>
      <c r="I405" s="2" t="s">
        <v>898</v>
      </c>
      <c r="K405" s="2" t="s">
        <v>44</v>
      </c>
      <c r="L405" s="2" t="s">
        <v>833</v>
      </c>
      <c r="N405" s="2" t="s">
        <v>377</v>
      </c>
      <c r="O405" s="2">
        <v>76.0</v>
      </c>
      <c r="P405" s="2" t="s">
        <v>233</v>
      </c>
      <c r="Q405" s="2" t="s">
        <v>834</v>
      </c>
      <c r="S405" s="2">
        <v>54.0</v>
      </c>
      <c r="T405" s="2" t="s">
        <v>65</v>
      </c>
      <c r="U405" s="2" t="s">
        <v>834</v>
      </c>
      <c r="AI405" s="2" t="str">
        <f t="shared" si="7"/>
        <v/>
      </c>
      <c r="AJ405" s="2" t="s">
        <v>49</v>
      </c>
      <c r="AK405" s="2" t="s">
        <v>50</v>
      </c>
    </row>
    <row r="406" ht="15.75" customHeight="1">
      <c r="A406" s="2" t="s">
        <v>39</v>
      </c>
      <c r="B406" s="3" t="str">
        <f>HYPERLINK("https://www.senado.gob.ar/parlamentario/comisiones/verExp/893.25/S/PL","893")</f>
        <v>893</v>
      </c>
      <c r="C406" s="3" t="str">
        <f>HYPERLINK("https://www.senado.gob.ar/parlamentario/comisiones/verExp/893.25/S/PL","2025")</f>
        <v>2025</v>
      </c>
      <c r="D406" s="2" t="s">
        <v>56</v>
      </c>
      <c r="E406" s="2" t="s">
        <v>901</v>
      </c>
      <c r="F406" s="2" t="s">
        <v>897</v>
      </c>
      <c r="I406" s="2" t="s">
        <v>902</v>
      </c>
      <c r="K406" s="2" t="s">
        <v>44</v>
      </c>
      <c r="L406" s="2" t="s">
        <v>898</v>
      </c>
      <c r="N406" s="2" t="s">
        <v>474</v>
      </c>
      <c r="O406" s="2">
        <v>75.0</v>
      </c>
      <c r="P406" s="2" t="s">
        <v>71</v>
      </c>
      <c r="Q406" s="2" t="s">
        <v>903</v>
      </c>
      <c r="AI406" s="2" t="str">
        <f t="shared" si="7"/>
        <v/>
      </c>
      <c r="AJ406" s="2" t="s">
        <v>49</v>
      </c>
      <c r="AK406" s="2" t="s">
        <v>50</v>
      </c>
    </row>
    <row r="407" ht="15.75" customHeight="1">
      <c r="A407" s="2" t="s">
        <v>39</v>
      </c>
      <c r="B407" s="3" t="str">
        <f>HYPERLINK("https://www.senado.gob.ar/parlamentario/comisiones/verExp/889.25/S/PL","889")</f>
        <v>889</v>
      </c>
      <c r="C407" s="3" t="str">
        <f>HYPERLINK("https://www.senado.gob.ar/parlamentario/comisiones/verExp/889.25/S/PL","2025")</f>
        <v>2025</v>
      </c>
      <c r="D407" s="2" t="s">
        <v>56</v>
      </c>
      <c r="E407" s="2" t="s">
        <v>904</v>
      </c>
      <c r="F407" s="2" t="s">
        <v>905</v>
      </c>
      <c r="I407" s="2" t="s">
        <v>902</v>
      </c>
      <c r="K407" s="2" t="s">
        <v>44</v>
      </c>
      <c r="L407" s="2" t="s">
        <v>898</v>
      </c>
      <c r="N407" s="2" t="s">
        <v>906</v>
      </c>
      <c r="O407" s="2">
        <v>61.0</v>
      </c>
      <c r="P407" s="2" t="s">
        <v>104</v>
      </c>
      <c r="Q407" s="2" t="s">
        <v>903</v>
      </c>
      <c r="S407" s="2">
        <v>54.0</v>
      </c>
      <c r="T407" s="2" t="s">
        <v>65</v>
      </c>
      <c r="U407" s="2" t="s">
        <v>903</v>
      </c>
      <c r="AI407" s="2" t="str">
        <f t="shared" si="7"/>
        <v/>
      </c>
      <c r="AJ407" s="2" t="s">
        <v>49</v>
      </c>
      <c r="AK407" s="2" t="s">
        <v>50</v>
      </c>
    </row>
    <row r="408" ht="15.75" customHeight="1">
      <c r="A408" s="2" t="s">
        <v>39</v>
      </c>
      <c r="B408" s="3" t="str">
        <f>HYPERLINK("https://www.senado.gob.ar/parlamentario/comisiones/verExp/884.25/S/PL","884")</f>
        <v>884</v>
      </c>
      <c r="C408" s="3" t="str">
        <f>HYPERLINK("https://www.senado.gob.ar/parlamentario/comisiones/verExp/884.25/S/PL","2025")</f>
        <v>2025</v>
      </c>
      <c r="D408" s="2" t="s">
        <v>56</v>
      </c>
      <c r="E408" s="2" t="s">
        <v>907</v>
      </c>
      <c r="F408" s="2" t="s">
        <v>905</v>
      </c>
      <c r="I408" s="2" t="s">
        <v>908</v>
      </c>
      <c r="K408" s="2" t="s">
        <v>909</v>
      </c>
      <c r="L408" s="2" t="s">
        <v>910</v>
      </c>
      <c r="N408" s="2" t="s">
        <v>380</v>
      </c>
      <c r="O408" s="2">
        <v>75.0</v>
      </c>
      <c r="P408" s="2" t="s">
        <v>71</v>
      </c>
      <c r="Q408" s="2" t="s">
        <v>911</v>
      </c>
      <c r="R408" s="2" t="s">
        <v>912</v>
      </c>
      <c r="S408" s="2">
        <v>75.0</v>
      </c>
      <c r="T408" s="2" t="s">
        <v>71</v>
      </c>
      <c r="U408" s="2" t="s">
        <v>659</v>
      </c>
      <c r="AI408" s="3" t="str">
        <f>HYPERLINK("https://www.senado.gob.ar/parlamentario/parlamentaria/ordenDelDiaResultadoLink/2025/291"," 291 2025 RB -")</f>
        <v> 291 2025 RB -</v>
      </c>
      <c r="AJ408" s="2" t="s">
        <v>49</v>
      </c>
      <c r="AK408" s="2" t="s">
        <v>50</v>
      </c>
    </row>
    <row r="409" ht="15.75" customHeight="1">
      <c r="A409" s="2" t="s">
        <v>39</v>
      </c>
      <c r="B409" s="3" t="str">
        <f>HYPERLINK("https://www.senado.gob.ar/parlamentario/comisiones/verExp/876.25/S/PR","876")</f>
        <v>876</v>
      </c>
      <c r="C409" s="3" t="str">
        <f>HYPERLINK("https://www.senado.gob.ar/parlamentario/comisiones/verExp/876.25/S/PR","2025")</f>
        <v>2025</v>
      </c>
      <c r="D409" s="2" t="s">
        <v>145</v>
      </c>
      <c r="E409" s="2" t="s">
        <v>913</v>
      </c>
      <c r="F409" s="2" t="s">
        <v>905</v>
      </c>
      <c r="I409" s="2" t="s">
        <v>908</v>
      </c>
      <c r="K409" s="2" t="s">
        <v>597</v>
      </c>
      <c r="L409" s="2" t="s">
        <v>914</v>
      </c>
      <c r="N409" s="2" t="s">
        <v>453</v>
      </c>
      <c r="O409" s="2">
        <v>50.0</v>
      </c>
      <c r="P409" s="2" t="s">
        <v>47</v>
      </c>
      <c r="Q409" s="2" t="s">
        <v>903</v>
      </c>
      <c r="R409" s="2" t="s">
        <v>450</v>
      </c>
      <c r="S409" s="2">
        <v>50.0</v>
      </c>
      <c r="T409" s="2" t="s">
        <v>47</v>
      </c>
      <c r="U409" s="2" t="s">
        <v>600</v>
      </c>
      <c r="W409" s="2">
        <v>78.0</v>
      </c>
      <c r="X409" s="2" t="s">
        <v>73</v>
      </c>
      <c r="Y409" s="2" t="s">
        <v>903</v>
      </c>
      <c r="Z409" s="2" t="s">
        <v>450</v>
      </c>
      <c r="AA409" s="2">
        <v>78.0</v>
      </c>
      <c r="AB409" s="2" t="s">
        <v>73</v>
      </c>
      <c r="AC409" s="2" t="s">
        <v>600</v>
      </c>
      <c r="AI409" s="3" t="str">
        <f>HYPERLINK("https://www.senado.gob.ar/parlamentario/parlamentaria/ordenDelDiaResultadoLink/2025/577"," 577 2025 RB -")</f>
        <v> 577 2025 RB -</v>
      </c>
      <c r="AJ409" s="2" t="s">
        <v>49</v>
      </c>
      <c r="AK409" s="2" t="s">
        <v>50</v>
      </c>
    </row>
    <row r="410" ht="15.75" customHeight="1">
      <c r="A410" s="2" t="s">
        <v>39</v>
      </c>
      <c r="B410" s="3" t="str">
        <f>HYPERLINK("https://www.senado.gob.ar/parlamentario/comisiones/verExp/872.25/S/PL","872")</f>
        <v>872</v>
      </c>
      <c r="C410" s="3" t="str">
        <f>HYPERLINK("https://www.senado.gob.ar/parlamentario/comisiones/verExp/872.25/S/PL","2025")</f>
        <v>2025</v>
      </c>
      <c r="D410" s="2" t="s">
        <v>56</v>
      </c>
      <c r="E410" s="2" t="s">
        <v>915</v>
      </c>
      <c r="F410" s="2" t="s">
        <v>905</v>
      </c>
      <c r="I410" s="2" t="s">
        <v>916</v>
      </c>
      <c r="K410" s="2" t="s">
        <v>44</v>
      </c>
      <c r="L410" s="2" t="s">
        <v>898</v>
      </c>
      <c r="N410" s="2" t="s">
        <v>75</v>
      </c>
      <c r="O410" s="2">
        <v>78.0</v>
      </c>
      <c r="P410" s="2" t="s">
        <v>73</v>
      </c>
      <c r="Q410" s="2" t="s">
        <v>903</v>
      </c>
      <c r="S410" s="2">
        <v>59.0</v>
      </c>
      <c r="T410" s="2" t="s">
        <v>220</v>
      </c>
      <c r="U410" s="2" t="s">
        <v>903</v>
      </c>
      <c r="AI410" s="2" t="str">
        <f t="shared" ref="AI410:AI443" si="8">HYPERLINK("","")</f>
        <v/>
      </c>
      <c r="AJ410" s="2" t="s">
        <v>49</v>
      </c>
      <c r="AK410" s="2" t="s">
        <v>50</v>
      </c>
    </row>
    <row r="411" ht="15.75" customHeight="1">
      <c r="A411" s="2" t="s">
        <v>39</v>
      </c>
      <c r="B411" s="3" t="str">
        <f>HYPERLINK("https://www.senado.gob.ar/parlamentario/comisiones/verExp/867.25/S/PL","867")</f>
        <v>867</v>
      </c>
      <c r="C411" s="3" t="str">
        <f>HYPERLINK("https://www.senado.gob.ar/parlamentario/comisiones/verExp/867.25/S/PL","2025")</f>
        <v>2025</v>
      </c>
      <c r="D411" s="2" t="s">
        <v>56</v>
      </c>
      <c r="E411" s="2" t="s">
        <v>917</v>
      </c>
      <c r="F411" s="2" t="s">
        <v>918</v>
      </c>
      <c r="I411" s="2" t="s">
        <v>916</v>
      </c>
      <c r="K411" s="2" t="s">
        <v>44</v>
      </c>
      <c r="L411" s="2" t="s">
        <v>898</v>
      </c>
      <c r="N411" s="2" t="s">
        <v>75</v>
      </c>
      <c r="O411" s="2">
        <v>75.0</v>
      </c>
      <c r="P411" s="2" t="s">
        <v>71</v>
      </c>
      <c r="Q411" s="2" t="s">
        <v>903</v>
      </c>
      <c r="S411" s="2">
        <v>65.0</v>
      </c>
      <c r="T411" s="2" t="s">
        <v>153</v>
      </c>
      <c r="U411" s="2" t="s">
        <v>903</v>
      </c>
      <c r="AI411" s="2" t="str">
        <f t="shared" si="8"/>
        <v/>
      </c>
      <c r="AJ411" s="2" t="s">
        <v>49</v>
      </c>
      <c r="AK411" s="2" t="s">
        <v>50</v>
      </c>
    </row>
    <row r="412" ht="15.75" customHeight="1">
      <c r="A412" s="2" t="s">
        <v>39</v>
      </c>
      <c r="B412" s="3" t="str">
        <f>HYPERLINK("https://www.senado.gob.ar/parlamentario/comisiones/verExp/866.25/S/PL","866")</f>
        <v>866</v>
      </c>
      <c r="C412" s="3" t="str">
        <f>HYPERLINK("https://www.senado.gob.ar/parlamentario/comisiones/verExp/866.25/S/PL","2025")</f>
        <v>2025</v>
      </c>
      <c r="D412" s="2" t="s">
        <v>56</v>
      </c>
      <c r="E412" s="2" t="s">
        <v>919</v>
      </c>
      <c r="F412" s="2" t="s">
        <v>918</v>
      </c>
      <c r="I412" s="2" t="s">
        <v>916</v>
      </c>
      <c r="K412" s="2" t="s">
        <v>44</v>
      </c>
      <c r="L412" s="2" t="s">
        <v>898</v>
      </c>
      <c r="N412" s="2" t="s">
        <v>279</v>
      </c>
      <c r="O412" s="2">
        <v>54.0</v>
      </c>
      <c r="P412" s="2" t="s">
        <v>65</v>
      </c>
      <c r="Q412" s="2" t="s">
        <v>903</v>
      </c>
      <c r="AI412" s="2" t="str">
        <f t="shared" si="8"/>
        <v/>
      </c>
      <c r="AJ412" s="2" t="s">
        <v>49</v>
      </c>
      <c r="AK412" s="2" t="s">
        <v>50</v>
      </c>
    </row>
    <row r="413" ht="15.75" customHeight="1">
      <c r="A413" s="2" t="s">
        <v>39</v>
      </c>
      <c r="B413" s="3" t="str">
        <f>HYPERLINK("https://www.senado.gob.ar/parlamentario/comisiones/verExp/861.25/S/PL","861")</f>
        <v>861</v>
      </c>
      <c r="C413" s="3" t="str">
        <f>HYPERLINK("https://www.senado.gob.ar/parlamentario/comisiones/verExp/861.25/S/PL","2025")</f>
        <v>2025</v>
      </c>
      <c r="D413" s="2" t="s">
        <v>56</v>
      </c>
      <c r="E413" s="2" t="s">
        <v>920</v>
      </c>
      <c r="F413" s="2" t="s">
        <v>918</v>
      </c>
      <c r="I413" s="2" t="s">
        <v>916</v>
      </c>
      <c r="K413" s="2" t="s">
        <v>44</v>
      </c>
      <c r="L413" s="2" t="s">
        <v>898</v>
      </c>
      <c r="N413" s="2" t="s">
        <v>921</v>
      </c>
      <c r="O413" s="2">
        <v>50.0</v>
      </c>
      <c r="P413" s="2" t="s">
        <v>47</v>
      </c>
      <c r="Q413" s="2" t="s">
        <v>903</v>
      </c>
      <c r="AI413" s="2" t="str">
        <f t="shared" si="8"/>
        <v/>
      </c>
      <c r="AJ413" s="2" t="s">
        <v>49</v>
      </c>
      <c r="AK413" s="2" t="s">
        <v>50</v>
      </c>
    </row>
    <row r="414" ht="15.75" customHeight="1">
      <c r="A414" s="2" t="s">
        <v>39</v>
      </c>
      <c r="B414" s="3" t="str">
        <f>HYPERLINK("https://www.senado.gob.ar/parlamentario/comisiones/verExp/860.25/S/PL","860")</f>
        <v>860</v>
      </c>
      <c r="C414" s="3" t="str">
        <f>HYPERLINK("https://www.senado.gob.ar/parlamentario/comisiones/verExp/860.25/S/PL","2025")</f>
        <v>2025</v>
      </c>
      <c r="D414" s="2" t="s">
        <v>56</v>
      </c>
      <c r="E414" s="2" t="s">
        <v>922</v>
      </c>
      <c r="F414" s="2" t="s">
        <v>918</v>
      </c>
      <c r="I414" s="2" t="s">
        <v>916</v>
      </c>
      <c r="K414" s="2" t="s">
        <v>44</v>
      </c>
      <c r="L414" s="2" t="s">
        <v>898</v>
      </c>
      <c r="N414" s="2" t="s">
        <v>88</v>
      </c>
      <c r="O414" s="2">
        <v>52.0</v>
      </c>
      <c r="P414" s="2" t="s">
        <v>78</v>
      </c>
      <c r="Q414" s="2" t="s">
        <v>903</v>
      </c>
      <c r="AI414" s="2" t="str">
        <f t="shared" si="8"/>
        <v/>
      </c>
      <c r="AJ414" s="2" t="s">
        <v>49</v>
      </c>
      <c r="AK414" s="2" t="s">
        <v>50</v>
      </c>
    </row>
    <row r="415" ht="15.75" customHeight="1">
      <c r="A415" s="2" t="s">
        <v>39</v>
      </c>
      <c r="B415" s="3" t="str">
        <f>HYPERLINK("https://www.senado.gob.ar/parlamentario/comisiones/verExp/857.25/S/PR","857")</f>
        <v>857</v>
      </c>
      <c r="C415" s="3" t="str">
        <f>HYPERLINK("https://www.senado.gob.ar/parlamentario/comisiones/verExp/857.25/S/PR","2025")</f>
        <v>2025</v>
      </c>
      <c r="D415" s="2" t="s">
        <v>145</v>
      </c>
      <c r="E415" s="2" t="s">
        <v>923</v>
      </c>
      <c r="F415" s="2" t="s">
        <v>918</v>
      </c>
      <c r="I415" s="2" t="s">
        <v>916</v>
      </c>
      <c r="K415" s="2" t="s">
        <v>44</v>
      </c>
      <c r="L415" s="2" t="s">
        <v>898</v>
      </c>
      <c r="N415" s="2" t="s">
        <v>427</v>
      </c>
      <c r="O415" s="2">
        <v>52.0</v>
      </c>
      <c r="P415" s="2" t="s">
        <v>78</v>
      </c>
      <c r="Q415" s="2" t="s">
        <v>903</v>
      </c>
      <c r="AI415" s="2" t="str">
        <f t="shared" si="8"/>
        <v/>
      </c>
      <c r="AJ415" s="2" t="s">
        <v>49</v>
      </c>
      <c r="AK415" s="2" t="s">
        <v>50</v>
      </c>
    </row>
    <row r="416" ht="15.75" customHeight="1">
      <c r="A416" s="2" t="s">
        <v>39</v>
      </c>
      <c r="B416" s="3" t="str">
        <f>HYPERLINK("https://www.senado.gob.ar/parlamentario/comisiones/verExp/850.25/S/PR","850")</f>
        <v>850</v>
      </c>
      <c r="C416" s="3" t="str">
        <f>HYPERLINK("https://www.senado.gob.ar/parlamentario/comisiones/verExp/850.25/S/PR","2025")</f>
        <v>2025</v>
      </c>
      <c r="D416" s="2" t="s">
        <v>145</v>
      </c>
      <c r="E416" s="2" t="s">
        <v>924</v>
      </c>
      <c r="F416" s="2" t="s">
        <v>925</v>
      </c>
      <c r="I416" s="2" t="s">
        <v>926</v>
      </c>
      <c r="K416" s="2" t="s">
        <v>44</v>
      </c>
      <c r="L416" s="2" t="s">
        <v>898</v>
      </c>
      <c r="N416" s="2" t="s">
        <v>46</v>
      </c>
      <c r="O416" s="2">
        <v>50.0</v>
      </c>
      <c r="P416" s="2" t="s">
        <v>47</v>
      </c>
      <c r="Q416" s="2" t="s">
        <v>903</v>
      </c>
      <c r="S416" s="2">
        <v>57.0</v>
      </c>
      <c r="T416" s="2" t="s">
        <v>123</v>
      </c>
      <c r="U416" s="2" t="s">
        <v>903</v>
      </c>
      <c r="AI416" s="2" t="str">
        <f t="shared" si="8"/>
        <v/>
      </c>
      <c r="AJ416" s="2" t="s">
        <v>49</v>
      </c>
      <c r="AK416" s="2" t="s">
        <v>50</v>
      </c>
    </row>
    <row r="417" ht="15.75" customHeight="1">
      <c r="A417" s="2" t="s">
        <v>39</v>
      </c>
      <c r="B417" s="3" t="str">
        <f>HYPERLINK("https://www.senado.gob.ar/parlamentario/comisiones/verExp/849.25/S/PL","849")</f>
        <v>849</v>
      </c>
      <c r="C417" s="3" t="str">
        <f>HYPERLINK("https://www.senado.gob.ar/parlamentario/comisiones/verExp/849.25/S/PL","2025")</f>
        <v>2025</v>
      </c>
      <c r="D417" s="2" t="s">
        <v>56</v>
      </c>
      <c r="E417" s="2" t="s">
        <v>927</v>
      </c>
      <c r="F417" s="2" t="s">
        <v>925</v>
      </c>
      <c r="I417" s="2" t="s">
        <v>926</v>
      </c>
      <c r="K417" s="2" t="s">
        <v>44</v>
      </c>
      <c r="L417" s="2" t="s">
        <v>898</v>
      </c>
      <c r="N417" s="2" t="s">
        <v>928</v>
      </c>
      <c r="O417" s="2">
        <v>54.0</v>
      </c>
      <c r="P417" s="2" t="s">
        <v>65</v>
      </c>
      <c r="Q417" s="2" t="s">
        <v>903</v>
      </c>
      <c r="S417" s="2">
        <v>72.0</v>
      </c>
      <c r="T417" s="2" t="s">
        <v>243</v>
      </c>
      <c r="U417" s="2" t="s">
        <v>903</v>
      </c>
      <c r="AI417" s="2" t="str">
        <f t="shared" si="8"/>
        <v/>
      </c>
      <c r="AJ417" s="2" t="s">
        <v>49</v>
      </c>
      <c r="AK417" s="2" t="s">
        <v>50</v>
      </c>
    </row>
    <row r="418" ht="15.75" customHeight="1">
      <c r="A418" s="2" t="s">
        <v>39</v>
      </c>
      <c r="B418" s="3" t="str">
        <f>HYPERLINK("https://www.senado.gob.ar/parlamentario/comisiones/verExp/843.25/S/PL","843")</f>
        <v>843</v>
      </c>
      <c r="C418" s="3" t="str">
        <f>HYPERLINK("https://www.senado.gob.ar/parlamentario/comisiones/verExp/843.25/S/PL","2025")</f>
        <v>2025</v>
      </c>
      <c r="D418" s="2" t="s">
        <v>56</v>
      </c>
      <c r="E418" s="2" t="s">
        <v>929</v>
      </c>
      <c r="F418" s="2" t="s">
        <v>925</v>
      </c>
      <c r="I418" s="2" t="s">
        <v>926</v>
      </c>
      <c r="K418" s="2" t="s">
        <v>44</v>
      </c>
      <c r="L418" s="2" t="s">
        <v>898</v>
      </c>
      <c r="N418" s="2" t="s">
        <v>930</v>
      </c>
      <c r="O418" s="2">
        <v>51.0</v>
      </c>
      <c r="P418" s="2" t="s">
        <v>62</v>
      </c>
      <c r="Q418" s="2" t="s">
        <v>903</v>
      </c>
      <c r="S418" s="2">
        <v>75.0</v>
      </c>
      <c r="T418" s="2" t="s">
        <v>71</v>
      </c>
      <c r="U418" s="2" t="s">
        <v>903</v>
      </c>
      <c r="AI418" s="2" t="str">
        <f t="shared" si="8"/>
        <v/>
      </c>
      <c r="AJ418" s="2" t="s">
        <v>49</v>
      </c>
      <c r="AK418" s="2" t="s">
        <v>50</v>
      </c>
    </row>
    <row r="419" ht="15.75" customHeight="1">
      <c r="A419" s="2" t="s">
        <v>39</v>
      </c>
      <c r="B419" s="3" t="str">
        <f>HYPERLINK("https://www.senado.gob.ar/parlamentario/comisiones/verExp/842.25/S/PL","842")</f>
        <v>842</v>
      </c>
      <c r="C419" s="3" t="str">
        <f>HYPERLINK("https://www.senado.gob.ar/parlamentario/comisiones/verExp/842.25/S/PL","2025")</f>
        <v>2025</v>
      </c>
      <c r="D419" s="2" t="s">
        <v>56</v>
      </c>
      <c r="E419" s="2" t="s">
        <v>931</v>
      </c>
      <c r="F419" s="2" t="s">
        <v>925</v>
      </c>
      <c r="I419" s="2" t="s">
        <v>932</v>
      </c>
      <c r="K419" s="2" t="s">
        <v>44</v>
      </c>
      <c r="L419" s="2" t="s">
        <v>898</v>
      </c>
      <c r="N419" s="2" t="s">
        <v>933</v>
      </c>
      <c r="O419" s="2">
        <v>78.0</v>
      </c>
      <c r="P419" s="2" t="s">
        <v>73</v>
      </c>
      <c r="Q419" s="2" t="s">
        <v>903</v>
      </c>
      <c r="S419" s="2">
        <v>61.0</v>
      </c>
      <c r="T419" s="2" t="s">
        <v>104</v>
      </c>
      <c r="U419" s="2" t="s">
        <v>903</v>
      </c>
      <c r="W419" s="2">
        <v>54.0</v>
      </c>
      <c r="X419" s="2" t="s">
        <v>65</v>
      </c>
      <c r="Y419" s="2" t="s">
        <v>903</v>
      </c>
      <c r="AI419" s="2" t="str">
        <f t="shared" si="8"/>
        <v/>
      </c>
      <c r="AJ419" s="2" t="s">
        <v>49</v>
      </c>
      <c r="AK419" s="2" t="s">
        <v>50</v>
      </c>
    </row>
    <row r="420" ht="15.75" customHeight="1">
      <c r="A420" s="2" t="s">
        <v>39</v>
      </c>
      <c r="B420" s="3" t="str">
        <f>HYPERLINK("https://www.senado.gob.ar/parlamentario/comisiones/verExp/840.25/S/PL","840")</f>
        <v>840</v>
      </c>
      <c r="C420" s="3" t="str">
        <f>HYPERLINK("https://www.senado.gob.ar/parlamentario/comisiones/verExp/840.25/S/PL","2025")</f>
        <v>2025</v>
      </c>
      <c r="D420" s="2" t="s">
        <v>56</v>
      </c>
      <c r="E420" s="2" t="s">
        <v>934</v>
      </c>
      <c r="F420" s="2" t="s">
        <v>925</v>
      </c>
      <c r="I420" s="2" t="s">
        <v>932</v>
      </c>
      <c r="K420" s="2" t="s">
        <v>44</v>
      </c>
      <c r="L420" s="2" t="s">
        <v>898</v>
      </c>
      <c r="N420" s="2" t="s">
        <v>407</v>
      </c>
      <c r="O420" s="2">
        <v>65.0</v>
      </c>
      <c r="P420" s="2" t="s">
        <v>153</v>
      </c>
      <c r="Q420" s="2" t="s">
        <v>903</v>
      </c>
      <c r="S420" s="2">
        <v>54.0</v>
      </c>
      <c r="T420" s="2" t="s">
        <v>65</v>
      </c>
      <c r="U420" s="2" t="s">
        <v>903</v>
      </c>
      <c r="AI420" s="2" t="str">
        <f t="shared" si="8"/>
        <v/>
      </c>
      <c r="AJ420" s="2" t="s">
        <v>49</v>
      </c>
      <c r="AK420" s="2" t="s">
        <v>50</v>
      </c>
    </row>
    <row r="421" ht="15.75" customHeight="1">
      <c r="A421" s="2" t="s">
        <v>39</v>
      </c>
      <c r="B421" s="3" t="str">
        <f>HYPERLINK("https://www.senado.gob.ar/parlamentario/comisiones/verExp/834.25/S/PL","834")</f>
        <v>834</v>
      </c>
      <c r="C421" s="3" t="str">
        <f>HYPERLINK("https://www.senado.gob.ar/parlamentario/comisiones/verExp/834.25/S/PL","2025")</f>
        <v>2025</v>
      </c>
      <c r="D421" s="2" t="s">
        <v>56</v>
      </c>
      <c r="E421" s="2" t="s">
        <v>935</v>
      </c>
      <c r="F421" s="2" t="s">
        <v>925</v>
      </c>
      <c r="I421" s="2" t="s">
        <v>936</v>
      </c>
      <c r="K421" s="2" t="s">
        <v>44</v>
      </c>
      <c r="L421" s="2" t="s">
        <v>898</v>
      </c>
      <c r="N421" s="2" t="s">
        <v>69</v>
      </c>
      <c r="O421" s="2">
        <v>75.0</v>
      </c>
      <c r="P421" s="2" t="s">
        <v>71</v>
      </c>
      <c r="Q421" s="2" t="s">
        <v>903</v>
      </c>
      <c r="S421" s="2">
        <v>54.0</v>
      </c>
      <c r="T421" s="2" t="s">
        <v>65</v>
      </c>
      <c r="U421" s="2" t="s">
        <v>903</v>
      </c>
      <c r="AI421" s="2" t="str">
        <f t="shared" si="8"/>
        <v/>
      </c>
      <c r="AJ421" s="2" t="s">
        <v>49</v>
      </c>
      <c r="AK421" s="2" t="s">
        <v>50</v>
      </c>
    </row>
    <row r="422" ht="15.75" customHeight="1">
      <c r="A422" s="2" t="s">
        <v>39</v>
      </c>
      <c r="B422" s="3" t="str">
        <f>HYPERLINK("https://www.senado.gob.ar/parlamentario/comisiones/verExp/827.25/S/PL","827")</f>
        <v>827</v>
      </c>
      <c r="C422" s="3" t="str">
        <f>HYPERLINK("https://www.senado.gob.ar/parlamentario/comisiones/verExp/827.25/S/PL","2025")</f>
        <v>2025</v>
      </c>
      <c r="D422" s="2" t="s">
        <v>56</v>
      </c>
      <c r="E422" s="2" t="s">
        <v>937</v>
      </c>
      <c r="F422" s="2" t="s">
        <v>938</v>
      </c>
      <c r="I422" s="2" t="s">
        <v>939</v>
      </c>
      <c r="K422" s="2" t="s">
        <v>44</v>
      </c>
      <c r="L422" s="2" t="s">
        <v>898</v>
      </c>
      <c r="N422" s="2" t="s">
        <v>168</v>
      </c>
      <c r="O422" s="2">
        <v>50.0</v>
      </c>
      <c r="P422" s="2" t="s">
        <v>47</v>
      </c>
      <c r="Q422" s="2" t="s">
        <v>903</v>
      </c>
      <c r="AI422" s="2" t="str">
        <f t="shared" si="8"/>
        <v/>
      </c>
      <c r="AJ422" s="2" t="s">
        <v>49</v>
      </c>
      <c r="AK422" s="2" t="s">
        <v>50</v>
      </c>
    </row>
    <row r="423" ht="15.75" customHeight="1">
      <c r="A423" s="2" t="s">
        <v>39</v>
      </c>
      <c r="B423" s="3" t="str">
        <f>HYPERLINK("https://www.senado.gob.ar/parlamentario/comisiones/verExp/819.25/S/PR","819")</f>
        <v>819</v>
      </c>
      <c r="C423" s="3" t="str">
        <f>HYPERLINK("https://www.senado.gob.ar/parlamentario/comisiones/verExp/819.25/S/PR","2025")</f>
        <v>2025</v>
      </c>
      <c r="D423" s="2" t="s">
        <v>145</v>
      </c>
      <c r="E423" s="2" t="s">
        <v>940</v>
      </c>
      <c r="F423" s="2" t="s">
        <v>938</v>
      </c>
      <c r="I423" s="2" t="s">
        <v>939</v>
      </c>
      <c r="K423" s="2" t="s">
        <v>44</v>
      </c>
      <c r="L423" s="2" t="s">
        <v>898</v>
      </c>
      <c r="N423" s="2" t="s">
        <v>941</v>
      </c>
      <c r="O423" s="2">
        <v>50.0</v>
      </c>
      <c r="P423" s="2" t="s">
        <v>47</v>
      </c>
      <c r="Q423" s="2" t="s">
        <v>903</v>
      </c>
      <c r="S423" s="2">
        <v>57.0</v>
      </c>
      <c r="T423" s="2" t="s">
        <v>123</v>
      </c>
      <c r="U423" s="2" t="s">
        <v>903</v>
      </c>
      <c r="AI423" s="2" t="str">
        <f t="shared" si="8"/>
        <v/>
      </c>
      <c r="AJ423" s="2" t="s">
        <v>49</v>
      </c>
      <c r="AK423" s="2" t="s">
        <v>50</v>
      </c>
    </row>
    <row r="424" ht="15.75" customHeight="1">
      <c r="A424" s="2" t="s">
        <v>39</v>
      </c>
      <c r="B424" s="3" t="str">
        <f>HYPERLINK("https://www.senado.gob.ar/parlamentario/comisiones/verExp/797.25/S/PL","797")</f>
        <v>797</v>
      </c>
      <c r="C424" s="3" t="str">
        <f>HYPERLINK("https://www.senado.gob.ar/parlamentario/comisiones/verExp/797.25/S/PL","2025")</f>
        <v>2025</v>
      </c>
      <c r="D424" s="2" t="s">
        <v>56</v>
      </c>
      <c r="E424" s="2" t="s">
        <v>942</v>
      </c>
      <c r="F424" s="2" t="s">
        <v>943</v>
      </c>
      <c r="I424" s="2" t="s">
        <v>944</v>
      </c>
      <c r="K424" s="2" t="s">
        <v>44</v>
      </c>
      <c r="L424" s="2" t="s">
        <v>939</v>
      </c>
      <c r="N424" s="2" t="s">
        <v>407</v>
      </c>
      <c r="O424" s="2">
        <v>54.0</v>
      </c>
      <c r="P424" s="2" t="s">
        <v>65</v>
      </c>
      <c r="Q424" s="2" t="s">
        <v>945</v>
      </c>
      <c r="AI424" s="2" t="str">
        <f t="shared" si="8"/>
        <v/>
      </c>
      <c r="AJ424" s="2" t="s">
        <v>49</v>
      </c>
      <c r="AK424" s="2" t="s">
        <v>50</v>
      </c>
    </row>
    <row r="425" ht="15.75" customHeight="1">
      <c r="A425" s="2" t="s">
        <v>39</v>
      </c>
      <c r="B425" s="3" t="str">
        <f>HYPERLINK("https://www.senado.gob.ar/parlamentario/comisiones/verExp/795.25/S/PL","795")</f>
        <v>795</v>
      </c>
      <c r="C425" s="3" t="str">
        <f>HYPERLINK("https://www.senado.gob.ar/parlamentario/comisiones/verExp/795.25/S/PL","2025")</f>
        <v>2025</v>
      </c>
      <c r="D425" s="2" t="s">
        <v>56</v>
      </c>
      <c r="E425" s="2" t="s">
        <v>946</v>
      </c>
      <c r="F425" s="2" t="s">
        <v>943</v>
      </c>
      <c r="I425" s="2" t="s">
        <v>944</v>
      </c>
      <c r="K425" s="2" t="s">
        <v>44</v>
      </c>
      <c r="L425" s="2" t="s">
        <v>939</v>
      </c>
      <c r="N425" s="2" t="s">
        <v>380</v>
      </c>
      <c r="O425" s="2">
        <v>61.0</v>
      </c>
      <c r="P425" s="2" t="s">
        <v>104</v>
      </c>
      <c r="Q425" s="2" t="s">
        <v>945</v>
      </c>
      <c r="S425" s="2">
        <v>54.0</v>
      </c>
      <c r="T425" s="2" t="s">
        <v>65</v>
      </c>
      <c r="U425" s="2" t="s">
        <v>945</v>
      </c>
      <c r="AI425" s="2" t="str">
        <f t="shared" si="8"/>
        <v/>
      </c>
      <c r="AJ425" s="2" t="s">
        <v>49</v>
      </c>
      <c r="AK425" s="2" t="s">
        <v>50</v>
      </c>
    </row>
    <row r="426" ht="15.75" customHeight="1">
      <c r="A426" s="2" t="s">
        <v>39</v>
      </c>
      <c r="B426" s="3" t="str">
        <f>HYPERLINK("https://www.senado.gob.ar/parlamentario/comisiones/verExp/793.25/S/PL","793")</f>
        <v>793</v>
      </c>
      <c r="C426" s="3" t="str">
        <f>HYPERLINK("https://www.senado.gob.ar/parlamentario/comisiones/verExp/793.25/S/PL","2025")</f>
        <v>2025</v>
      </c>
      <c r="D426" s="2" t="s">
        <v>56</v>
      </c>
      <c r="E426" s="2" t="s">
        <v>947</v>
      </c>
      <c r="F426" s="2" t="s">
        <v>943</v>
      </c>
      <c r="I426" s="2" t="s">
        <v>944</v>
      </c>
      <c r="K426" s="2" t="s">
        <v>44</v>
      </c>
      <c r="L426" s="2" t="s">
        <v>939</v>
      </c>
      <c r="N426" s="2" t="s">
        <v>948</v>
      </c>
      <c r="O426" s="2">
        <v>53.0</v>
      </c>
      <c r="P426" s="2" t="s">
        <v>76</v>
      </c>
      <c r="Q426" s="2" t="s">
        <v>945</v>
      </c>
      <c r="S426" s="2">
        <v>75.0</v>
      </c>
      <c r="T426" s="2" t="s">
        <v>71</v>
      </c>
      <c r="U426" s="2" t="s">
        <v>945</v>
      </c>
      <c r="AI426" s="2" t="str">
        <f t="shared" si="8"/>
        <v/>
      </c>
      <c r="AJ426" s="2" t="s">
        <v>49</v>
      </c>
      <c r="AK426" s="2" t="s">
        <v>50</v>
      </c>
    </row>
    <row r="427" ht="15.75" customHeight="1">
      <c r="A427" s="2" t="s">
        <v>39</v>
      </c>
      <c r="B427" s="3" t="str">
        <f>HYPERLINK("https://www.senado.gob.ar/parlamentario/comisiones/verExp/771.25/S/PL","771")</f>
        <v>771</v>
      </c>
      <c r="C427" s="3" t="str">
        <f>HYPERLINK("https://www.senado.gob.ar/parlamentario/comisiones/verExp/771.25/S/PL","2025")</f>
        <v>2025</v>
      </c>
      <c r="D427" s="2" t="s">
        <v>56</v>
      </c>
      <c r="E427" s="2" t="s">
        <v>949</v>
      </c>
      <c r="F427" s="2" t="s">
        <v>950</v>
      </c>
      <c r="I427" s="2" t="s">
        <v>951</v>
      </c>
      <c r="K427" s="2" t="s">
        <v>44</v>
      </c>
      <c r="L427" s="2" t="s">
        <v>939</v>
      </c>
      <c r="N427" s="2" t="s">
        <v>952</v>
      </c>
      <c r="O427" s="2">
        <v>52.0</v>
      </c>
      <c r="P427" s="2" t="s">
        <v>78</v>
      </c>
      <c r="Q427" s="2" t="s">
        <v>945</v>
      </c>
      <c r="AI427" s="2" t="str">
        <f t="shared" si="8"/>
        <v/>
      </c>
      <c r="AJ427" s="2" t="s">
        <v>49</v>
      </c>
      <c r="AK427" s="2" t="s">
        <v>50</v>
      </c>
    </row>
    <row r="428" ht="15.75" customHeight="1">
      <c r="A428" s="2" t="s">
        <v>39</v>
      </c>
      <c r="B428" s="3" t="str">
        <f>HYPERLINK("https://www.senado.gob.ar/parlamentario/comisiones/verExp/768.25/S/PL","768")</f>
        <v>768</v>
      </c>
      <c r="C428" s="3" t="str">
        <f>HYPERLINK("https://www.senado.gob.ar/parlamentario/comisiones/verExp/768.25/S/PL","2025")</f>
        <v>2025</v>
      </c>
      <c r="D428" s="2" t="s">
        <v>56</v>
      </c>
      <c r="E428" s="2" t="s">
        <v>953</v>
      </c>
      <c r="F428" s="2" t="s">
        <v>950</v>
      </c>
      <c r="I428" s="2" t="s">
        <v>954</v>
      </c>
      <c r="K428" s="2" t="s">
        <v>44</v>
      </c>
      <c r="L428" s="2" t="s">
        <v>939</v>
      </c>
      <c r="N428" s="2" t="s">
        <v>261</v>
      </c>
      <c r="O428" s="2">
        <v>52.0</v>
      </c>
      <c r="P428" s="2" t="s">
        <v>78</v>
      </c>
      <c r="Q428" s="2" t="s">
        <v>945</v>
      </c>
      <c r="AI428" s="2" t="str">
        <f t="shared" si="8"/>
        <v/>
      </c>
      <c r="AJ428" s="2" t="s">
        <v>49</v>
      </c>
      <c r="AK428" s="2" t="s">
        <v>50</v>
      </c>
    </row>
    <row r="429" ht="15.75" customHeight="1">
      <c r="A429" s="2" t="s">
        <v>39</v>
      </c>
      <c r="B429" s="3" t="str">
        <f>HYPERLINK("https://www.senado.gob.ar/parlamentario/comisiones/verExp/752.25/S/PR","752")</f>
        <v>752</v>
      </c>
      <c r="C429" s="3" t="str">
        <f>HYPERLINK("https://www.senado.gob.ar/parlamentario/comisiones/verExp/752.25/S/PR","2025")</f>
        <v>2025</v>
      </c>
      <c r="D429" s="2" t="s">
        <v>145</v>
      </c>
      <c r="E429" s="2" t="s">
        <v>955</v>
      </c>
      <c r="F429" s="2" t="s">
        <v>950</v>
      </c>
      <c r="I429" s="2" t="s">
        <v>954</v>
      </c>
      <c r="K429" s="2" t="s">
        <v>44</v>
      </c>
      <c r="L429" s="2" t="s">
        <v>939</v>
      </c>
      <c r="N429" s="2" t="s">
        <v>956</v>
      </c>
      <c r="O429" s="2">
        <v>50.0</v>
      </c>
      <c r="P429" s="2" t="s">
        <v>47</v>
      </c>
      <c r="Q429" s="2" t="s">
        <v>945</v>
      </c>
      <c r="S429" s="2">
        <v>54.0</v>
      </c>
      <c r="T429" s="2" t="s">
        <v>65</v>
      </c>
      <c r="U429" s="2" t="s">
        <v>945</v>
      </c>
      <c r="AI429" s="2" t="str">
        <f t="shared" si="8"/>
        <v/>
      </c>
      <c r="AJ429" s="2" t="s">
        <v>49</v>
      </c>
      <c r="AK429" s="2" t="s">
        <v>50</v>
      </c>
    </row>
    <row r="430" ht="15.75" customHeight="1">
      <c r="A430" s="2" t="s">
        <v>39</v>
      </c>
      <c r="B430" s="3" t="str">
        <f>HYPERLINK("https://www.senado.gob.ar/parlamentario/comisiones/verExp/751.25/S/PL","751")</f>
        <v>751</v>
      </c>
      <c r="C430" s="3" t="str">
        <f>HYPERLINK("https://www.senado.gob.ar/parlamentario/comisiones/verExp/751.25/S/PL","2025")</f>
        <v>2025</v>
      </c>
      <c r="D430" s="2" t="s">
        <v>56</v>
      </c>
      <c r="E430" s="2" t="s">
        <v>957</v>
      </c>
      <c r="F430" s="2" t="s">
        <v>950</v>
      </c>
      <c r="I430" s="2" t="s">
        <v>954</v>
      </c>
      <c r="K430" s="2" t="s">
        <v>44</v>
      </c>
      <c r="L430" s="2" t="s">
        <v>939</v>
      </c>
      <c r="N430" s="2" t="s">
        <v>427</v>
      </c>
      <c r="O430" s="2">
        <v>75.0</v>
      </c>
      <c r="P430" s="2" t="s">
        <v>71</v>
      </c>
      <c r="Q430" s="2" t="s">
        <v>945</v>
      </c>
      <c r="S430" s="2">
        <v>54.0</v>
      </c>
      <c r="T430" s="2" t="s">
        <v>65</v>
      </c>
      <c r="U430" s="2" t="s">
        <v>945</v>
      </c>
      <c r="AI430" s="2" t="str">
        <f t="shared" si="8"/>
        <v/>
      </c>
      <c r="AJ430" s="2" t="s">
        <v>49</v>
      </c>
      <c r="AK430" s="2" t="s">
        <v>50</v>
      </c>
    </row>
    <row r="431" ht="15.75" customHeight="1">
      <c r="A431" s="2" t="s">
        <v>39</v>
      </c>
      <c r="B431" s="3" t="str">
        <f>HYPERLINK("https://www.senado.gob.ar/parlamentario/comisiones/verExp/740.25/S/PL","740")</f>
        <v>740</v>
      </c>
      <c r="C431" s="3" t="str">
        <f>HYPERLINK("https://www.senado.gob.ar/parlamentario/comisiones/verExp/740.25/S/PL","2025")</f>
        <v>2025</v>
      </c>
      <c r="D431" s="2" t="s">
        <v>56</v>
      </c>
      <c r="E431" s="2" t="s">
        <v>958</v>
      </c>
      <c r="F431" s="2" t="s">
        <v>959</v>
      </c>
      <c r="I431" s="2" t="s">
        <v>960</v>
      </c>
      <c r="K431" s="2" t="s">
        <v>44</v>
      </c>
      <c r="L431" s="2" t="s">
        <v>939</v>
      </c>
      <c r="N431" s="2" t="s">
        <v>69</v>
      </c>
      <c r="O431" s="2">
        <v>54.0</v>
      </c>
      <c r="P431" s="2" t="s">
        <v>65</v>
      </c>
      <c r="Q431" s="2" t="s">
        <v>945</v>
      </c>
      <c r="S431" s="2">
        <v>70.0</v>
      </c>
      <c r="T431" s="2" t="s">
        <v>166</v>
      </c>
      <c r="U431" s="2" t="s">
        <v>945</v>
      </c>
      <c r="AI431" s="2" t="str">
        <f t="shared" si="8"/>
        <v/>
      </c>
      <c r="AJ431" s="2" t="s">
        <v>49</v>
      </c>
      <c r="AK431" s="2" t="s">
        <v>50</v>
      </c>
    </row>
    <row r="432" ht="15.75" customHeight="1">
      <c r="A432" s="2" t="s">
        <v>39</v>
      </c>
      <c r="B432" s="3" t="str">
        <f>HYPERLINK("https://www.senado.gob.ar/parlamentario/comisiones/verExp/736.25/S/PL","736")</f>
        <v>736</v>
      </c>
      <c r="C432" s="3" t="str">
        <f>HYPERLINK("https://www.senado.gob.ar/parlamentario/comisiones/verExp/736.25/S/PL","2025")</f>
        <v>2025</v>
      </c>
      <c r="D432" s="2" t="s">
        <v>56</v>
      </c>
      <c r="E432" s="2" t="s">
        <v>961</v>
      </c>
      <c r="F432" s="2" t="s">
        <v>959</v>
      </c>
      <c r="I432" s="2" t="s">
        <v>962</v>
      </c>
      <c r="K432" s="2" t="s">
        <v>44</v>
      </c>
      <c r="L432" s="2" t="s">
        <v>939</v>
      </c>
      <c r="N432" s="2" t="s">
        <v>930</v>
      </c>
      <c r="O432" s="2">
        <v>52.0</v>
      </c>
      <c r="P432" s="2" t="s">
        <v>78</v>
      </c>
      <c r="Q432" s="2" t="s">
        <v>945</v>
      </c>
      <c r="S432" s="2">
        <v>75.0</v>
      </c>
      <c r="T432" s="2" t="s">
        <v>71</v>
      </c>
      <c r="U432" s="2" t="s">
        <v>945</v>
      </c>
      <c r="AI432" s="2" t="str">
        <f t="shared" si="8"/>
        <v/>
      </c>
      <c r="AJ432" s="2" t="s">
        <v>49</v>
      </c>
      <c r="AK432" s="2" t="s">
        <v>50</v>
      </c>
    </row>
    <row r="433" ht="15.75" customHeight="1">
      <c r="A433" s="2" t="s">
        <v>39</v>
      </c>
      <c r="B433" s="3" t="str">
        <f>HYPERLINK("https://www.senado.gob.ar/parlamentario/comisiones/verExp/735.25/S/PL","735")</f>
        <v>735</v>
      </c>
      <c r="C433" s="3" t="str">
        <f>HYPERLINK("https://www.senado.gob.ar/parlamentario/comisiones/verExp/735.25/S/PL","2025")</f>
        <v>2025</v>
      </c>
      <c r="D433" s="2" t="s">
        <v>56</v>
      </c>
      <c r="E433" s="2" t="s">
        <v>963</v>
      </c>
      <c r="F433" s="2" t="s">
        <v>959</v>
      </c>
      <c r="I433" s="2" t="s">
        <v>962</v>
      </c>
      <c r="K433" s="2" t="s">
        <v>44</v>
      </c>
      <c r="L433" s="2" t="s">
        <v>939</v>
      </c>
      <c r="N433" s="2" t="s">
        <v>930</v>
      </c>
      <c r="O433" s="2">
        <v>76.0</v>
      </c>
      <c r="P433" s="2" t="s">
        <v>233</v>
      </c>
      <c r="Q433" s="2" t="s">
        <v>945</v>
      </c>
      <c r="S433" s="2">
        <v>75.0</v>
      </c>
      <c r="T433" s="2" t="s">
        <v>71</v>
      </c>
      <c r="U433" s="2" t="s">
        <v>945</v>
      </c>
      <c r="AI433" s="2" t="str">
        <f t="shared" si="8"/>
        <v/>
      </c>
      <c r="AJ433" s="2" t="s">
        <v>49</v>
      </c>
      <c r="AK433" s="2" t="s">
        <v>50</v>
      </c>
    </row>
    <row r="434" ht="15.75" customHeight="1">
      <c r="A434" s="2" t="s">
        <v>39</v>
      </c>
      <c r="B434" s="3" t="str">
        <f>HYPERLINK("https://www.senado.gob.ar/parlamentario/comisiones/verExp/734.25/S/PL","734")</f>
        <v>734</v>
      </c>
      <c r="C434" s="3" t="str">
        <f>HYPERLINK("https://www.senado.gob.ar/parlamentario/comisiones/verExp/734.25/S/PL","2025")</f>
        <v>2025</v>
      </c>
      <c r="D434" s="2" t="s">
        <v>56</v>
      </c>
      <c r="E434" s="2" t="s">
        <v>964</v>
      </c>
      <c r="F434" s="2" t="s">
        <v>959</v>
      </c>
      <c r="I434" s="2" t="s">
        <v>962</v>
      </c>
      <c r="K434" s="2" t="s">
        <v>44</v>
      </c>
      <c r="L434" s="2" t="s">
        <v>939</v>
      </c>
      <c r="N434" s="2" t="s">
        <v>930</v>
      </c>
      <c r="O434" s="2">
        <v>50.0</v>
      </c>
      <c r="P434" s="2" t="s">
        <v>47</v>
      </c>
      <c r="Q434" s="2" t="s">
        <v>945</v>
      </c>
      <c r="S434" s="2">
        <v>52.0</v>
      </c>
      <c r="T434" s="2" t="s">
        <v>78</v>
      </c>
      <c r="U434" s="2" t="s">
        <v>945</v>
      </c>
      <c r="W434" s="2">
        <v>53.0</v>
      </c>
      <c r="X434" s="2" t="s">
        <v>76</v>
      </c>
      <c r="Y434" s="2" t="s">
        <v>945</v>
      </c>
      <c r="AI434" s="2" t="str">
        <f t="shared" si="8"/>
        <v/>
      </c>
      <c r="AJ434" s="2" t="s">
        <v>49</v>
      </c>
      <c r="AK434" s="2" t="s">
        <v>50</v>
      </c>
    </row>
    <row r="435" ht="15.75" customHeight="1">
      <c r="A435" s="2" t="s">
        <v>39</v>
      </c>
      <c r="B435" s="3" t="str">
        <f>HYPERLINK("https://www.senado.gob.ar/parlamentario/comisiones/verExp/733.25/S/PL","733")</f>
        <v>733</v>
      </c>
      <c r="C435" s="3" t="str">
        <f>HYPERLINK("https://www.senado.gob.ar/parlamentario/comisiones/verExp/733.25/S/PL","2025")</f>
        <v>2025</v>
      </c>
      <c r="D435" s="2" t="s">
        <v>56</v>
      </c>
      <c r="E435" s="2" t="s">
        <v>965</v>
      </c>
      <c r="F435" s="2" t="s">
        <v>959</v>
      </c>
      <c r="I435" s="2" t="s">
        <v>962</v>
      </c>
      <c r="K435" s="2" t="s">
        <v>44</v>
      </c>
      <c r="L435" s="2" t="s">
        <v>939</v>
      </c>
      <c r="N435" s="2" t="s">
        <v>930</v>
      </c>
      <c r="O435" s="2">
        <v>75.0</v>
      </c>
      <c r="P435" s="2" t="s">
        <v>71</v>
      </c>
      <c r="Q435" s="2" t="s">
        <v>945</v>
      </c>
      <c r="S435" s="2">
        <v>70.0</v>
      </c>
      <c r="T435" s="2" t="s">
        <v>166</v>
      </c>
      <c r="U435" s="2" t="s">
        <v>945</v>
      </c>
      <c r="AI435" s="2" t="str">
        <f t="shared" si="8"/>
        <v/>
      </c>
      <c r="AJ435" s="2" t="s">
        <v>49</v>
      </c>
      <c r="AK435" s="2" t="s">
        <v>50</v>
      </c>
    </row>
    <row r="436" ht="15.75" customHeight="1">
      <c r="A436" s="2" t="s">
        <v>39</v>
      </c>
      <c r="B436" s="3" t="str">
        <f>HYPERLINK("https://www.senado.gob.ar/parlamentario/comisiones/verExp/732.25/S/PL","732")</f>
        <v>732</v>
      </c>
      <c r="C436" s="3" t="str">
        <f>HYPERLINK("https://www.senado.gob.ar/parlamentario/comisiones/verExp/732.25/S/PL","2025")</f>
        <v>2025</v>
      </c>
      <c r="D436" s="2" t="s">
        <v>56</v>
      </c>
      <c r="E436" s="2" t="s">
        <v>966</v>
      </c>
      <c r="F436" s="2" t="s">
        <v>959</v>
      </c>
      <c r="I436" s="2" t="s">
        <v>962</v>
      </c>
      <c r="K436" s="2" t="s">
        <v>44</v>
      </c>
      <c r="L436" s="2" t="s">
        <v>939</v>
      </c>
      <c r="N436" s="2" t="s">
        <v>930</v>
      </c>
      <c r="O436" s="2">
        <v>60.0</v>
      </c>
      <c r="P436" s="2" t="s">
        <v>64</v>
      </c>
      <c r="Q436" s="2" t="s">
        <v>945</v>
      </c>
      <c r="AI436" s="2" t="str">
        <f t="shared" si="8"/>
        <v/>
      </c>
      <c r="AJ436" s="2" t="s">
        <v>49</v>
      </c>
      <c r="AK436" s="2" t="s">
        <v>50</v>
      </c>
    </row>
    <row r="437" ht="15.75" customHeight="1">
      <c r="A437" s="2" t="s">
        <v>39</v>
      </c>
      <c r="B437" s="3" t="str">
        <f>HYPERLINK("https://www.senado.gob.ar/parlamentario/comisiones/verExp/731.25/S/PL","731")</f>
        <v>731</v>
      </c>
      <c r="C437" s="3" t="str">
        <f>HYPERLINK("https://www.senado.gob.ar/parlamentario/comisiones/verExp/731.25/S/PL","2025")</f>
        <v>2025</v>
      </c>
      <c r="D437" s="2" t="s">
        <v>56</v>
      </c>
      <c r="E437" s="2" t="s">
        <v>967</v>
      </c>
      <c r="F437" s="2" t="s">
        <v>959</v>
      </c>
      <c r="I437" s="2" t="s">
        <v>962</v>
      </c>
      <c r="K437" s="2" t="s">
        <v>44</v>
      </c>
      <c r="L437" s="2" t="s">
        <v>939</v>
      </c>
      <c r="M437" s="2" t="s">
        <v>431</v>
      </c>
      <c r="N437" s="2" t="s">
        <v>930</v>
      </c>
      <c r="O437" s="2">
        <v>61.0</v>
      </c>
      <c r="P437" s="2" t="s">
        <v>104</v>
      </c>
      <c r="Q437" s="2" t="s">
        <v>945</v>
      </c>
      <c r="S437" s="2">
        <v>60.0</v>
      </c>
      <c r="T437" s="2" t="s">
        <v>64</v>
      </c>
      <c r="U437" s="2" t="s">
        <v>945</v>
      </c>
      <c r="AI437" s="2" t="str">
        <f t="shared" si="8"/>
        <v/>
      </c>
      <c r="AJ437" s="2" t="s">
        <v>49</v>
      </c>
      <c r="AK437" s="2" t="s">
        <v>50</v>
      </c>
    </row>
    <row r="438" ht="15.75" customHeight="1">
      <c r="A438" s="2" t="s">
        <v>39</v>
      </c>
      <c r="B438" s="3" t="str">
        <f>HYPERLINK("https://www.senado.gob.ar/parlamentario/comisiones/verExp/730.25/S/PL","730")</f>
        <v>730</v>
      </c>
      <c r="C438" s="3" t="str">
        <f>HYPERLINK("https://www.senado.gob.ar/parlamentario/comisiones/verExp/730.25/S/PL","2025")</f>
        <v>2025</v>
      </c>
      <c r="D438" s="2" t="s">
        <v>56</v>
      </c>
      <c r="E438" s="2" t="s">
        <v>968</v>
      </c>
      <c r="F438" s="2" t="s">
        <v>969</v>
      </c>
      <c r="I438" s="2" t="s">
        <v>962</v>
      </c>
      <c r="K438" s="2" t="s">
        <v>44</v>
      </c>
      <c r="L438" s="2" t="s">
        <v>939</v>
      </c>
      <c r="N438" s="2" t="s">
        <v>930</v>
      </c>
      <c r="O438" s="2">
        <v>58.0</v>
      </c>
      <c r="P438" s="2" t="s">
        <v>194</v>
      </c>
      <c r="Q438" s="2" t="s">
        <v>945</v>
      </c>
      <c r="S438" s="2">
        <v>76.0</v>
      </c>
      <c r="T438" s="2" t="s">
        <v>233</v>
      </c>
      <c r="U438" s="2" t="s">
        <v>945</v>
      </c>
      <c r="AI438" s="2" t="str">
        <f t="shared" si="8"/>
        <v/>
      </c>
      <c r="AJ438" s="2" t="s">
        <v>49</v>
      </c>
      <c r="AK438" s="2" t="s">
        <v>50</v>
      </c>
    </row>
    <row r="439" ht="15.75" customHeight="1">
      <c r="A439" s="2" t="s">
        <v>39</v>
      </c>
      <c r="B439" s="3" t="str">
        <f>HYPERLINK("https://www.senado.gob.ar/parlamentario/comisiones/verExp/697.25/S/PL","697")</f>
        <v>697</v>
      </c>
      <c r="C439" s="3" t="str">
        <f>HYPERLINK("https://www.senado.gob.ar/parlamentario/comisiones/verExp/697.25/S/PL","2025")</f>
        <v>2025</v>
      </c>
      <c r="D439" s="2" t="s">
        <v>56</v>
      </c>
      <c r="E439" s="2" t="s">
        <v>970</v>
      </c>
      <c r="F439" s="2" t="s">
        <v>971</v>
      </c>
      <c r="I439" s="2" t="s">
        <v>972</v>
      </c>
      <c r="K439" s="2" t="s">
        <v>44</v>
      </c>
      <c r="L439" s="2" t="s">
        <v>973</v>
      </c>
      <c r="N439" s="2" t="s">
        <v>160</v>
      </c>
      <c r="O439" s="2">
        <v>70.0</v>
      </c>
      <c r="P439" s="2" t="s">
        <v>166</v>
      </c>
      <c r="Q439" s="2" t="s">
        <v>974</v>
      </c>
      <c r="S439" s="2">
        <v>75.0</v>
      </c>
      <c r="T439" s="2" t="s">
        <v>71</v>
      </c>
      <c r="U439" s="2" t="s">
        <v>974</v>
      </c>
      <c r="AI439" s="2" t="str">
        <f t="shared" si="8"/>
        <v/>
      </c>
      <c r="AJ439" s="2" t="s">
        <v>49</v>
      </c>
      <c r="AK439" s="2" t="s">
        <v>50</v>
      </c>
    </row>
    <row r="440" ht="15.75" customHeight="1">
      <c r="A440" s="2" t="s">
        <v>39</v>
      </c>
      <c r="B440" s="3" t="str">
        <f>HYPERLINK("https://www.senado.gob.ar/parlamentario/comisiones/verExp/694.25/S/PL","694")</f>
        <v>694</v>
      </c>
      <c r="C440" s="3" t="str">
        <f>HYPERLINK("https://www.senado.gob.ar/parlamentario/comisiones/verExp/694.25/S/PL","2025")</f>
        <v>2025</v>
      </c>
      <c r="D440" s="2" t="s">
        <v>56</v>
      </c>
      <c r="E440" s="2" t="s">
        <v>975</v>
      </c>
      <c r="F440" s="2" t="s">
        <v>971</v>
      </c>
      <c r="I440" s="2" t="s">
        <v>972</v>
      </c>
      <c r="K440" s="2" t="s">
        <v>44</v>
      </c>
      <c r="L440" s="2" t="s">
        <v>973</v>
      </c>
      <c r="N440" s="2" t="s">
        <v>75</v>
      </c>
      <c r="O440" s="2">
        <v>68.0</v>
      </c>
      <c r="P440" s="2" t="s">
        <v>180</v>
      </c>
      <c r="Q440" s="2" t="s">
        <v>974</v>
      </c>
      <c r="S440" s="2">
        <v>52.0</v>
      </c>
      <c r="T440" s="2" t="s">
        <v>78</v>
      </c>
      <c r="U440" s="2" t="s">
        <v>974</v>
      </c>
      <c r="AI440" s="2" t="str">
        <f t="shared" si="8"/>
        <v/>
      </c>
      <c r="AJ440" s="2" t="s">
        <v>49</v>
      </c>
      <c r="AK440" s="2" t="s">
        <v>50</v>
      </c>
    </row>
    <row r="441" ht="15.75" customHeight="1">
      <c r="A441" s="2" t="s">
        <v>39</v>
      </c>
      <c r="B441" s="3" t="str">
        <f>HYPERLINK("https://www.senado.gob.ar/parlamentario/comisiones/verExp/689.25/S/PL","689")</f>
        <v>689</v>
      </c>
      <c r="C441" s="3" t="str">
        <f>HYPERLINK("https://www.senado.gob.ar/parlamentario/comisiones/verExp/689.25/S/PL","2025")</f>
        <v>2025</v>
      </c>
      <c r="D441" s="2" t="s">
        <v>56</v>
      </c>
      <c r="E441" s="2" t="s">
        <v>976</v>
      </c>
      <c r="F441" s="2" t="s">
        <v>971</v>
      </c>
      <c r="I441" s="2" t="s">
        <v>972</v>
      </c>
      <c r="K441" s="2" t="s">
        <v>44</v>
      </c>
      <c r="L441" s="2" t="s">
        <v>973</v>
      </c>
      <c r="N441" s="2" t="s">
        <v>168</v>
      </c>
      <c r="O441" s="2">
        <v>50.0</v>
      </c>
      <c r="P441" s="2" t="s">
        <v>47</v>
      </c>
      <c r="Q441" s="2" t="s">
        <v>974</v>
      </c>
      <c r="S441" s="2">
        <v>52.0</v>
      </c>
      <c r="T441" s="2" t="s">
        <v>78</v>
      </c>
      <c r="U441" s="2" t="s">
        <v>974</v>
      </c>
      <c r="AI441" s="2" t="str">
        <f t="shared" si="8"/>
        <v/>
      </c>
      <c r="AJ441" s="2" t="s">
        <v>49</v>
      </c>
      <c r="AK441" s="2" t="s">
        <v>50</v>
      </c>
    </row>
    <row r="442" ht="15.75" customHeight="1">
      <c r="A442" s="2" t="s">
        <v>39</v>
      </c>
      <c r="B442" s="3" t="str">
        <f>HYPERLINK("https://www.senado.gob.ar/parlamentario/comisiones/verExp/685.25/S/PL","685")</f>
        <v>685</v>
      </c>
      <c r="C442" s="3" t="str">
        <f>HYPERLINK("https://www.senado.gob.ar/parlamentario/comisiones/verExp/685.25/S/PL","2025")</f>
        <v>2025</v>
      </c>
      <c r="D442" s="2" t="s">
        <v>56</v>
      </c>
      <c r="E442" s="2" t="s">
        <v>977</v>
      </c>
      <c r="F442" s="2" t="s">
        <v>978</v>
      </c>
      <c r="I442" s="2" t="s">
        <v>979</v>
      </c>
      <c r="K442" s="2" t="s">
        <v>44</v>
      </c>
      <c r="L442" s="2" t="s">
        <v>973</v>
      </c>
      <c r="N442" s="2" t="s">
        <v>980</v>
      </c>
      <c r="O442" s="2">
        <v>54.0</v>
      </c>
      <c r="P442" s="2" t="s">
        <v>65</v>
      </c>
      <c r="Q442" s="2" t="s">
        <v>974</v>
      </c>
      <c r="S442" s="2">
        <v>62.0</v>
      </c>
      <c r="T442" s="2" t="s">
        <v>205</v>
      </c>
      <c r="U442" s="2" t="s">
        <v>974</v>
      </c>
      <c r="AI442" s="2" t="str">
        <f t="shared" si="8"/>
        <v/>
      </c>
      <c r="AJ442" s="2" t="s">
        <v>49</v>
      </c>
      <c r="AK442" s="2" t="s">
        <v>50</v>
      </c>
    </row>
    <row r="443" ht="15.75" customHeight="1">
      <c r="A443" s="2" t="s">
        <v>39</v>
      </c>
      <c r="B443" s="3" t="str">
        <f>HYPERLINK("https://www.senado.gob.ar/parlamentario/comisiones/verExp/684.25/S/PL","684")</f>
        <v>684</v>
      </c>
      <c r="C443" s="3" t="str">
        <f>HYPERLINK("https://www.senado.gob.ar/parlamentario/comisiones/verExp/684.25/S/PL","2025")</f>
        <v>2025</v>
      </c>
      <c r="D443" s="2" t="s">
        <v>56</v>
      </c>
      <c r="E443" s="2" t="s">
        <v>981</v>
      </c>
      <c r="F443" s="2" t="s">
        <v>978</v>
      </c>
      <c r="I443" s="2" t="s">
        <v>979</v>
      </c>
      <c r="K443" s="2" t="s">
        <v>44</v>
      </c>
      <c r="L443" s="2" t="s">
        <v>973</v>
      </c>
      <c r="N443" s="2" t="s">
        <v>372</v>
      </c>
      <c r="O443" s="2">
        <v>74.0</v>
      </c>
      <c r="P443" s="2" t="s">
        <v>256</v>
      </c>
      <c r="Q443" s="2" t="s">
        <v>974</v>
      </c>
      <c r="S443" s="2">
        <v>68.0</v>
      </c>
      <c r="T443" s="2" t="s">
        <v>180</v>
      </c>
      <c r="U443" s="2" t="s">
        <v>974</v>
      </c>
      <c r="W443" s="2">
        <v>54.0</v>
      </c>
      <c r="X443" s="2" t="s">
        <v>65</v>
      </c>
      <c r="Y443" s="2" t="s">
        <v>974</v>
      </c>
      <c r="AI443" s="2" t="str">
        <f t="shared" si="8"/>
        <v/>
      </c>
      <c r="AJ443" s="2" t="s">
        <v>49</v>
      </c>
      <c r="AK443" s="2" t="s">
        <v>50</v>
      </c>
    </row>
    <row r="444" ht="15.75" customHeight="1">
      <c r="A444" s="2" t="s">
        <v>39</v>
      </c>
      <c r="B444" s="3" t="str">
        <f>HYPERLINK("https://www.senado.gob.ar/parlamentario/comisiones/verExp/683.25/S/PR","683")</f>
        <v>683</v>
      </c>
      <c r="C444" s="3" t="str">
        <f>HYPERLINK("https://www.senado.gob.ar/parlamentario/comisiones/verExp/683.25/S/PR","2025")</f>
        <v>2025</v>
      </c>
      <c r="D444" s="2" t="s">
        <v>145</v>
      </c>
      <c r="E444" s="2" t="s">
        <v>982</v>
      </c>
      <c r="F444" s="2" t="s">
        <v>978</v>
      </c>
      <c r="I444" s="2" t="s">
        <v>979</v>
      </c>
      <c r="K444" s="2" t="s">
        <v>597</v>
      </c>
      <c r="L444" s="2" t="s">
        <v>983</v>
      </c>
      <c r="N444" s="2" t="s">
        <v>279</v>
      </c>
      <c r="O444" s="2">
        <v>50.0</v>
      </c>
      <c r="P444" s="2" t="s">
        <v>47</v>
      </c>
      <c r="Q444" s="2" t="s">
        <v>974</v>
      </c>
      <c r="R444" s="2" t="s">
        <v>450</v>
      </c>
      <c r="S444" s="2">
        <v>50.0</v>
      </c>
      <c r="T444" s="2" t="s">
        <v>47</v>
      </c>
      <c r="U444" s="2" t="s">
        <v>600</v>
      </c>
      <c r="W444" s="2">
        <v>78.0</v>
      </c>
      <c r="X444" s="2" t="s">
        <v>73</v>
      </c>
      <c r="Y444" s="2" t="s">
        <v>974</v>
      </c>
      <c r="Z444" s="2" t="s">
        <v>450</v>
      </c>
      <c r="AA444" s="2">
        <v>78.0</v>
      </c>
      <c r="AB444" s="2" t="s">
        <v>73</v>
      </c>
      <c r="AC444" s="2" t="s">
        <v>600</v>
      </c>
      <c r="AE444" s="2">
        <v>70.0</v>
      </c>
      <c r="AF444" s="2" t="s">
        <v>166</v>
      </c>
      <c r="AG444" s="2" t="s">
        <v>974</v>
      </c>
      <c r="AH444" s="2" t="s">
        <v>450</v>
      </c>
      <c r="AI444" s="3" t="str">
        <f>HYPERLINK("https://www.senado.gob.ar/parlamentario/parlamentaria/ordenDelDiaResultadoLink/2025/576"," 576 2025 RB -")</f>
        <v> 576 2025 RB -</v>
      </c>
      <c r="AJ444" s="2" t="s">
        <v>49</v>
      </c>
      <c r="AK444" s="2" t="s">
        <v>50</v>
      </c>
    </row>
    <row r="445" ht="15.75" customHeight="1">
      <c r="A445" s="2" t="s">
        <v>39</v>
      </c>
      <c r="B445" s="3" t="str">
        <f>HYPERLINK("https://www.senado.gob.ar/parlamentario/comisiones/verExp/682.25/S/PR","682")</f>
        <v>682</v>
      </c>
      <c r="C445" s="3" t="str">
        <f>HYPERLINK("https://www.senado.gob.ar/parlamentario/comisiones/verExp/682.25/S/PR","2025")</f>
        <v>2025</v>
      </c>
      <c r="D445" s="2" t="s">
        <v>145</v>
      </c>
      <c r="E445" s="2" t="s">
        <v>984</v>
      </c>
      <c r="F445" s="2" t="s">
        <v>978</v>
      </c>
      <c r="I445" s="2" t="s">
        <v>979</v>
      </c>
      <c r="K445" s="2" t="s">
        <v>44</v>
      </c>
      <c r="L445" s="2" t="s">
        <v>973</v>
      </c>
      <c r="N445" s="2" t="s">
        <v>279</v>
      </c>
      <c r="O445" s="2">
        <v>50.0</v>
      </c>
      <c r="P445" s="2" t="s">
        <v>47</v>
      </c>
      <c r="Q445" s="2" t="s">
        <v>974</v>
      </c>
      <c r="AI445" s="2" t="str">
        <f t="shared" ref="AI445:AI476" si="9">HYPERLINK("","")</f>
        <v/>
      </c>
      <c r="AJ445" s="2" t="s">
        <v>49</v>
      </c>
      <c r="AK445" s="2" t="s">
        <v>50</v>
      </c>
    </row>
    <row r="446" ht="15.75" customHeight="1">
      <c r="A446" s="2" t="s">
        <v>39</v>
      </c>
      <c r="B446" s="3" t="str">
        <f>HYPERLINK("https://www.senado.gob.ar/parlamentario/comisiones/verExp/680.25/S/PL","680")</f>
        <v>680</v>
      </c>
      <c r="C446" s="3" t="str">
        <f>HYPERLINK("https://www.senado.gob.ar/parlamentario/comisiones/verExp/680.25/S/PL","2025")</f>
        <v>2025</v>
      </c>
      <c r="D446" s="2" t="s">
        <v>56</v>
      </c>
      <c r="E446" s="2" t="s">
        <v>985</v>
      </c>
      <c r="F446" s="2" t="s">
        <v>978</v>
      </c>
      <c r="I446" s="2" t="s">
        <v>979</v>
      </c>
      <c r="K446" s="2" t="s">
        <v>44</v>
      </c>
      <c r="L446" s="2" t="s">
        <v>973</v>
      </c>
      <c r="N446" s="2" t="s">
        <v>666</v>
      </c>
      <c r="O446" s="2">
        <v>52.0</v>
      </c>
      <c r="P446" s="2" t="s">
        <v>78</v>
      </c>
      <c r="Q446" s="2" t="s">
        <v>974</v>
      </c>
      <c r="AI446" s="2" t="str">
        <f t="shared" si="9"/>
        <v/>
      </c>
      <c r="AJ446" s="2" t="s">
        <v>49</v>
      </c>
      <c r="AK446" s="2" t="s">
        <v>50</v>
      </c>
    </row>
    <row r="447" ht="15.75" customHeight="1">
      <c r="A447" s="2" t="s">
        <v>39</v>
      </c>
      <c r="B447" s="3" t="str">
        <f>HYPERLINK("https://www.senado.gob.ar/parlamentario/comisiones/verExp/679.25/S/PL","679")</f>
        <v>679</v>
      </c>
      <c r="C447" s="3" t="str">
        <f>HYPERLINK("https://www.senado.gob.ar/parlamentario/comisiones/verExp/679.25/S/PL","2025")</f>
        <v>2025</v>
      </c>
      <c r="D447" s="2" t="s">
        <v>56</v>
      </c>
      <c r="E447" s="2" t="s">
        <v>986</v>
      </c>
      <c r="F447" s="2" t="s">
        <v>978</v>
      </c>
      <c r="I447" s="2" t="s">
        <v>979</v>
      </c>
      <c r="K447" s="2" t="s">
        <v>44</v>
      </c>
      <c r="L447" s="2" t="s">
        <v>973</v>
      </c>
      <c r="N447" s="2" t="s">
        <v>666</v>
      </c>
      <c r="O447" s="2">
        <v>50.0</v>
      </c>
      <c r="P447" s="2" t="s">
        <v>47</v>
      </c>
      <c r="Q447" s="2" t="s">
        <v>974</v>
      </c>
      <c r="S447" s="2">
        <v>64.0</v>
      </c>
      <c r="T447" s="2" t="s">
        <v>186</v>
      </c>
      <c r="U447" s="2" t="s">
        <v>974</v>
      </c>
      <c r="AI447" s="2" t="str">
        <f t="shared" si="9"/>
        <v/>
      </c>
      <c r="AJ447" s="2" t="s">
        <v>49</v>
      </c>
      <c r="AK447" s="2" t="s">
        <v>50</v>
      </c>
    </row>
    <row r="448" ht="15.75" customHeight="1">
      <c r="A448" s="2" t="s">
        <v>39</v>
      </c>
      <c r="B448" s="3" t="str">
        <f>HYPERLINK("https://www.senado.gob.ar/parlamentario/comisiones/verExp/678.25/S/PL","678")</f>
        <v>678</v>
      </c>
      <c r="C448" s="3" t="str">
        <f>HYPERLINK("https://www.senado.gob.ar/parlamentario/comisiones/verExp/678.25/S/PL","2025")</f>
        <v>2025</v>
      </c>
      <c r="D448" s="2" t="s">
        <v>56</v>
      </c>
      <c r="E448" s="2" t="s">
        <v>987</v>
      </c>
      <c r="F448" s="2" t="s">
        <v>978</v>
      </c>
      <c r="I448" s="2" t="s">
        <v>979</v>
      </c>
      <c r="K448" s="2" t="s">
        <v>44</v>
      </c>
      <c r="L448" s="2" t="s">
        <v>973</v>
      </c>
      <c r="N448" s="2" t="s">
        <v>543</v>
      </c>
      <c r="O448" s="2">
        <v>50.0</v>
      </c>
      <c r="P448" s="2" t="s">
        <v>47</v>
      </c>
      <c r="Q448" s="2" t="s">
        <v>974</v>
      </c>
      <c r="AI448" s="2" t="str">
        <f t="shared" si="9"/>
        <v/>
      </c>
      <c r="AJ448" s="2" t="s">
        <v>49</v>
      </c>
      <c r="AK448" s="2" t="s">
        <v>50</v>
      </c>
    </row>
    <row r="449" ht="15.75" customHeight="1">
      <c r="A449" s="2" t="s">
        <v>39</v>
      </c>
      <c r="B449" s="3" t="str">
        <f>HYPERLINK("https://www.senado.gob.ar/parlamentario/comisiones/verExp/672.25/S/PL","672")</f>
        <v>672</v>
      </c>
      <c r="C449" s="3" t="str">
        <f>HYPERLINK("https://www.senado.gob.ar/parlamentario/comisiones/verExp/672.25/S/PL","2025")</f>
        <v>2025</v>
      </c>
      <c r="D449" s="2" t="s">
        <v>56</v>
      </c>
      <c r="E449" s="2" t="s">
        <v>988</v>
      </c>
      <c r="F449" s="2" t="s">
        <v>978</v>
      </c>
      <c r="I449" s="2" t="s">
        <v>979</v>
      </c>
      <c r="K449" s="2" t="s">
        <v>44</v>
      </c>
      <c r="L449" s="2" t="s">
        <v>973</v>
      </c>
      <c r="N449" s="2" t="s">
        <v>989</v>
      </c>
      <c r="O449" s="2">
        <v>73.0</v>
      </c>
      <c r="P449" s="2" t="s">
        <v>237</v>
      </c>
      <c r="Q449" s="2" t="s">
        <v>974</v>
      </c>
      <c r="S449" s="2">
        <v>54.0</v>
      </c>
      <c r="T449" s="2" t="s">
        <v>65</v>
      </c>
      <c r="U449" s="2" t="s">
        <v>974</v>
      </c>
      <c r="AI449" s="2" t="str">
        <f t="shared" si="9"/>
        <v/>
      </c>
      <c r="AJ449" s="2" t="s">
        <v>49</v>
      </c>
      <c r="AK449" s="2" t="s">
        <v>50</v>
      </c>
    </row>
    <row r="450" ht="15.75" customHeight="1">
      <c r="A450" s="2" t="s">
        <v>39</v>
      </c>
      <c r="B450" s="3" t="str">
        <f>HYPERLINK("https://www.senado.gob.ar/parlamentario/comisiones/verExp/671.25/S/CO","671")</f>
        <v>671</v>
      </c>
      <c r="C450" s="3" t="str">
        <f>HYPERLINK("https://www.senado.gob.ar/parlamentario/comisiones/verExp/671.25/S/CO","2025")</f>
        <v>2025</v>
      </c>
      <c r="D450" s="2" t="s">
        <v>40</v>
      </c>
      <c r="E450" s="2" t="s">
        <v>990</v>
      </c>
      <c r="F450" s="2" t="s">
        <v>991</v>
      </c>
      <c r="I450" s="2" t="s">
        <v>979</v>
      </c>
      <c r="K450" s="2" t="s">
        <v>44</v>
      </c>
      <c r="L450" s="2" t="s">
        <v>972</v>
      </c>
      <c r="N450" s="2" t="s">
        <v>261</v>
      </c>
      <c r="O450" s="2">
        <v>50.0</v>
      </c>
      <c r="P450" s="2" t="s">
        <v>47</v>
      </c>
      <c r="Q450" s="2" t="s">
        <v>992</v>
      </c>
      <c r="AI450" s="2" t="str">
        <f t="shared" si="9"/>
        <v/>
      </c>
      <c r="AJ450" s="2" t="s">
        <v>49</v>
      </c>
      <c r="AK450" s="2" t="s">
        <v>50</v>
      </c>
    </row>
    <row r="451" ht="15.75" customHeight="1">
      <c r="A451" s="2" t="s">
        <v>39</v>
      </c>
      <c r="B451" s="3" t="str">
        <f>HYPERLINK("https://www.senado.gob.ar/parlamentario/comisiones/verExp/670.25/S/CO","670")</f>
        <v>670</v>
      </c>
      <c r="C451" s="3" t="str">
        <f>HYPERLINK("https://www.senado.gob.ar/parlamentario/comisiones/verExp/670.25/S/CO","2025")</f>
        <v>2025</v>
      </c>
      <c r="D451" s="2" t="s">
        <v>40</v>
      </c>
      <c r="E451" s="2" t="s">
        <v>993</v>
      </c>
      <c r="F451" s="2" t="s">
        <v>991</v>
      </c>
      <c r="I451" s="2" t="s">
        <v>979</v>
      </c>
      <c r="K451" s="2" t="s">
        <v>44</v>
      </c>
      <c r="L451" s="2" t="s">
        <v>972</v>
      </c>
      <c r="N451" s="2" t="s">
        <v>407</v>
      </c>
      <c r="O451" s="2">
        <v>50.0</v>
      </c>
      <c r="P451" s="2" t="s">
        <v>47</v>
      </c>
      <c r="Q451" s="2" t="s">
        <v>992</v>
      </c>
      <c r="AI451" s="2" t="str">
        <f t="shared" si="9"/>
        <v/>
      </c>
      <c r="AJ451" s="2" t="s">
        <v>49</v>
      </c>
      <c r="AK451" s="2" t="s">
        <v>50</v>
      </c>
    </row>
    <row r="452" ht="15.75" customHeight="1">
      <c r="A452" s="2" t="s">
        <v>39</v>
      </c>
      <c r="B452" s="3" t="str">
        <f>HYPERLINK("https://www.senado.gob.ar/parlamentario/comisiones/verExp/669.25/S/CO","669")</f>
        <v>669</v>
      </c>
      <c r="C452" s="3" t="str">
        <f>HYPERLINK("https://www.senado.gob.ar/parlamentario/comisiones/verExp/669.25/S/CO","2025")</f>
        <v>2025</v>
      </c>
      <c r="D452" s="2" t="s">
        <v>40</v>
      </c>
      <c r="E452" s="2" t="s">
        <v>994</v>
      </c>
      <c r="F452" s="2" t="s">
        <v>991</v>
      </c>
      <c r="I452" s="2" t="s">
        <v>979</v>
      </c>
      <c r="K452" s="2" t="s">
        <v>44</v>
      </c>
      <c r="L452" s="2" t="s">
        <v>972</v>
      </c>
      <c r="N452" s="2" t="s">
        <v>88</v>
      </c>
      <c r="O452" s="2">
        <v>50.0</v>
      </c>
      <c r="P452" s="2" t="s">
        <v>47</v>
      </c>
      <c r="Q452" s="2" t="s">
        <v>992</v>
      </c>
      <c r="AI452" s="2" t="str">
        <f t="shared" si="9"/>
        <v/>
      </c>
      <c r="AJ452" s="2" t="s">
        <v>49</v>
      </c>
      <c r="AK452" s="2" t="s">
        <v>50</v>
      </c>
    </row>
    <row r="453" ht="15.75" customHeight="1">
      <c r="A453" s="2" t="s">
        <v>39</v>
      </c>
      <c r="B453" s="3" t="str">
        <f>HYPERLINK("https://www.senado.gob.ar/parlamentario/comisiones/verExp/668.25/S/CO","668")</f>
        <v>668</v>
      </c>
      <c r="C453" s="3" t="str">
        <f>HYPERLINK("https://www.senado.gob.ar/parlamentario/comisiones/verExp/668.25/S/CO","2025")</f>
        <v>2025</v>
      </c>
      <c r="D453" s="2" t="s">
        <v>40</v>
      </c>
      <c r="E453" s="2" t="s">
        <v>995</v>
      </c>
      <c r="F453" s="2" t="s">
        <v>991</v>
      </c>
      <c r="I453" s="2" t="s">
        <v>979</v>
      </c>
      <c r="K453" s="2" t="s">
        <v>44</v>
      </c>
      <c r="L453" s="2" t="s">
        <v>972</v>
      </c>
      <c r="N453" s="2" t="s">
        <v>377</v>
      </c>
      <c r="O453" s="2">
        <v>50.0</v>
      </c>
      <c r="P453" s="2" t="s">
        <v>47</v>
      </c>
      <c r="Q453" s="2" t="s">
        <v>992</v>
      </c>
      <c r="AI453" s="2" t="str">
        <f t="shared" si="9"/>
        <v/>
      </c>
      <c r="AJ453" s="2" t="s">
        <v>49</v>
      </c>
      <c r="AK453" s="2" t="s">
        <v>50</v>
      </c>
    </row>
    <row r="454" ht="15.75" customHeight="1">
      <c r="A454" s="2" t="s">
        <v>39</v>
      </c>
      <c r="B454" s="3" t="str">
        <f>HYPERLINK("https://www.senado.gob.ar/parlamentario/comisiones/verExp/667.25/S/CO","667")</f>
        <v>667</v>
      </c>
      <c r="C454" s="3" t="str">
        <f>HYPERLINK("https://www.senado.gob.ar/parlamentario/comisiones/verExp/667.25/S/CO","2025")</f>
        <v>2025</v>
      </c>
      <c r="D454" s="2" t="s">
        <v>40</v>
      </c>
      <c r="E454" s="2" t="s">
        <v>996</v>
      </c>
      <c r="F454" s="2" t="s">
        <v>991</v>
      </c>
      <c r="I454" s="2" t="s">
        <v>979</v>
      </c>
      <c r="K454" s="2" t="s">
        <v>44</v>
      </c>
      <c r="L454" s="2" t="s">
        <v>972</v>
      </c>
      <c r="N454" s="2" t="s">
        <v>356</v>
      </c>
      <c r="O454" s="2">
        <v>50.0</v>
      </c>
      <c r="P454" s="2" t="s">
        <v>47</v>
      </c>
      <c r="Q454" s="2" t="s">
        <v>992</v>
      </c>
      <c r="AI454" s="2" t="str">
        <f t="shared" si="9"/>
        <v/>
      </c>
      <c r="AJ454" s="2" t="s">
        <v>49</v>
      </c>
      <c r="AK454" s="2" t="s">
        <v>50</v>
      </c>
    </row>
    <row r="455" ht="15.75" customHeight="1">
      <c r="A455" s="2" t="s">
        <v>39</v>
      </c>
      <c r="B455" s="3" t="str">
        <f>HYPERLINK("https://www.senado.gob.ar/parlamentario/comisiones/verExp/664.25/S/PR","664")</f>
        <v>664</v>
      </c>
      <c r="C455" s="3" t="str">
        <f>HYPERLINK("https://www.senado.gob.ar/parlamentario/comisiones/verExp/664.25/S/PR","2025")</f>
        <v>2025</v>
      </c>
      <c r="D455" s="2" t="s">
        <v>145</v>
      </c>
      <c r="E455" s="2" t="s">
        <v>997</v>
      </c>
      <c r="F455" s="2" t="s">
        <v>978</v>
      </c>
      <c r="I455" s="2" t="s">
        <v>998</v>
      </c>
      <c r="K455" s="2" t="s">
        <v>44</v>
      </c>
      <c r="L455" s="2" t="s">
        <v>973</v>
      </c>
      <c r="N455" s="2" t="s">
        <v>999</v>
      </c>
      <c r="O455" s="2">
        <v>50.0</v>
      </c>
      <c r="P455" s="2" t="s">
        <v>47</v>
      </c>
      <c r="Q455" s="2" t="s">
        <v>974</v>
      </c>
      <c r="S455" s="2">
        <v>54.0</v>
      </c>
      <c r="T455" s="2" t="s">
        <v>65</v>
      </c>
      <c r="U455" s="2" t="s">
        <v>974</v>
      </c>
      <c r="AI455" s="2" t="str">
        <f t="shared" si="9"/>
        <v/>
      </c>
      <c r="AJ455" s="2" t="s">
        <v>49</v>
      </c>
      <c r="AK455" s="2" t="s">
        <v>50</v>
      </c>
    </row>
    <row r="456" ht="15.75" customHeight="1">
      <c r="A456" s="2" t="s">
        <v>39</v>
      </c>
      <c r="B456" s="3" t="str">
        <f>HYPERLINK("https://www.senado.gob.ar/parlamentario/comisiones/verExp/663.25/S/PR","663")</f>
        <v>663</v>
      </c>
      <c r="C456" s="3" t="str">
        <f>HYPERLINK("https://www.senado.gob.ar/parlamentario/comisiones/verExp/663.25/S/PR","2025")</f>
        <v>2025</v>
      </c>
      <c r="D456" s="2" t="s">
        <v>145</v>
      </c>
      <c r="E456" s="2" t="s">
        <v>1000</v>
      </c>
      <c r="F456" s="2" t="s">
        <v>1001</v>
      </c>
      <c r="I456" s="2" t="s">
        <v>998</v>
      </c>
      <c r="K456" s="2" t="s">
        <v>44</v>
      </c>
      <c r="L456" s="2" t="s">
        <v>973</v>
      </c>
      <c r="N456" s="2" t="s">
        <v>999</v>
      </c>
      <c r="O456" s="2">
        <v>50.0</v>
      </c>
      <c r="P456" s="2" t="s">
        <v>47</v>
      </c>
      <c r="Q456" s="2" t="s">
        <v>974</v>
      </c>
      <c r="S456" s="2">
        <v>58.0</v>
      </c>
      <c r="T456" s="2" t="s">
        <v>194</v>
      </c>
      <c r="U456" s="2" t="s">
        <v>974</v>
      </c>
      <c r="AI456" s="2" t="str">
        <f t="shared" si="9"/>
        <v/>
      </c>
      <c r="AJ456" s="2" t="s">
        <v>49</v>
      </c>
      <c r="AK456" s="2" t="s">
        <v>50</v>
      </c>
    </row>
    <row r="457" ht="15.75" customHeight="1">
      <c r="A457" s="2" t="s">
        <v>39</v>
      </c>
      <c r="B457" s="3" t="str">
        <f>HYPERLINK("https://www.senado.gob.ar/parlamentario/comisiones/verExp/662.25/S/PR","662")</f>
        <v>662</v>
      </c>
      <c r="C457" s="3" t="str">
        <f>HYPERLINK("https://www.senado.gob.ar/parlamentario/comisiones/verExp/662.25/S/PR","2025")</f>
        <v>2025</v>
      </c>
      <c r="D457" s="2" t="s">
        <v>145</v>
      </c>
      <c r="E457" s="2" t="s">
        <v>1002</v>
      </c>
      <c r="F457" s="2" t="s">
        <v>1001</v>
      </c>
      <c r="I457" s="2" t="s">
        <v>998</v>
      </c>
      <c r="K457" s="2" t="s">
        <v>593</v>
      </c>
      <c r="L457" s="2" t="s">
        <v>1003</v>
      </c>
      <c r="N457" s="2" t="s">
        <v>1004</v>
      </c>
      <c r="O457" s="2">
        <v>50.0</v>
      </c>
      <c r="P457" s="2" t="s">
        <v>47</v>
      </c>
      <c r="Q457" s="2" t="s">
        <v>1005</v>
      </c>
      <c r="AI457" s="2" t="str">
        <f t="shared" si="9"/>
        <v/>
      </c>
      <c r="AJ457" s="2" t="s">
        <v>49</v>
      </c>
      <c r="AK457" s="2" t="s">
        <v>50</v>
      </c>
    </row>
    <row r="458" ht="15.75" customHeight="1">
      <c r="A458" s="2" t="s">
        <v>39</v>
      </c>
      <c r="B458" s="3" t="str">
        <f>HYPERLINK("https://www.senado.gob.ar/parlamentario/comisiones/verExp/658.25/S/PL","658")</f>
        <v>658</v>
      </c>
      <c r="C458" s="3" t="str">
        <f>HYPERLINK("https://www.senado.gob.ar/parlamentario/comisiones/verExp/658.25/S/PL","2025")</f>
        <v>2025</v>
      </c>
      <c r="D458" s="2" t="s">
        <v>56</v>
      </c>
      <c r="E458" s="2" t="s">
        <v>1006</v>
      </c>
      <c r="F458" s="2" t="s">
        <v>1001</v>
      </c>
      <c r="I458" s="2" t="s">
        <v>998</v>
      </c>
      <c r="K458" s="2" t="s">
        <v>44</v>
      </c>
      <c r="L458" s="2" t="s">
        <v>973</v>
      </c>
      <c r="N458" s="2" t="s">
        <v>46</v>
      </c>
      <c r="O458" s="2">
        <v>61.0</v>
      </c>
      <c r="P458" s="2" t="s">
        <v>104</v>
      </c>
      <c r="Q458" s="2" t="s">
        <v>974</v>
      </c>
      <c r="S458" s="2">
        <v>77.0</v>
      </c>
      <c r="T458" s="2" t="s">
        <v>70</v>
      </c>
      <c r="U458" s="2" t="s">
        <v>974</v>
      </c>
      <c r="AI458" s="2" t="str">
        <f t="shared" si="9"/>
        <v/>
      </c>
      <c r="AJ458" s="2" t="s">
        <v>49</v>
      </c>
      <c r="AK458" s="2" t="s">
        <v>50</v>
      </c>
    </row>
    <row r="459" ht="15.75" customHeight="1">
      <c r="A459" s="2" t="s">
        <v>39</v>
      </c>
      <c r="B459" s="3" t="str">
        <f>HYPERLINK("https://www.senado.gob.ar/parlamentario/comisiones/verExp/657.25/S/PL","657")</f>
        <v>657</v>
      </c>
      <c r="C459" s="3" t="str">
        <f>HYPERLINK("https://www.senado.gob.ar/parlamentario/comisiones/verExp/657.25/S/PL","2025")</f>
        <v>2025</v>
      </c>
      <c r="D459" s="2" t="s">
        <v>56</v>
      </c>
      <c r="E459" s="2" t="s">
        <v>1007</v>
      </c>
      <c r="F459" s="2" t="s">
        <v>1001</v>
      </c>
      <c r="I459" s="2" t="s">
        <v>998</v>
      </c>
      <c r="K459" s="2" t="s">
        <v>44</v>
      </c>
      <c r="L459" s="2" t="s">
        <v>973</v>
      </c>
      <c r="N459" s="2" t="s">
        <v>46</v>
      </c>
      <c r="O459" s="2">
        <v>78.0</v>
      </c>
      <c r="P459" s="2" t="s">
        <v>73</v>
      </c>
      <c r="Q459" s="2" t="s">
        <v>974</v>
      </c>
      <c r="S459" s="2">
        <v>54.0</v>
      </c>
      <c r="T459" s="2" t="s">
        <v>65</v>
      </c>
      <c r="U459" s="2" t="s">
        <v>974</v>
      </c>
      <c r="AI459" s="2" t="str">
        <f t="shared" si="9"/>
        <v/>
      </c>
      <c r="AJ459" s="2" t="s">
        <v>49</v>
      </c>
      <c r="AK459" s="2" t="s">
        <v>50</v>
      </c>
    </row>
    <row r="460" ht="15.75" customHeight="1">
      <c r="A460" s="2" t="s">
        <v>39</v>
      </c>
      <c r="B460" s="3" t="str">
        <f>HYPERLINK("https://www.senado.gob.ar/parlamentario/comisiones/verExp/655.25/S/PL","655")</f>
        <v>655</v>
      </c>
      <c r="C460" s="3" t="str">
        <f>HYPERLINK("https://www.senado.gob.ar/parlamentario/comisiones/verExp/655.25/S/PL","2025")</f>
        <v>2025</v>
      </c>
      <c r="D460" s="2" t="s">
        <v>56</v>
      </c>
      <c r="E460" s="2" t="s">
        <v>1008</v>
      </c>
      <c r="F460" s="2" t="s">
        <v>1001</v>
      </c>
      <c r="I460" s="2" t="s">
        <v>998</v>
      </c>
      <c r="K460" s="2" t="s">
        <v>44</v>
      </c>
      <c r="L460" s="2" t="s">
        <v>973</v>
      </c>
      <c r="N460" s="2" t="s">
        <v>1009</v>
      </c>
      <c r="O460" s="2">
        <v>73.0</v>
      </c>
      <c r="P460" s="2" t="s">
        <v>237</v>
      </c>
      <c r="Q460" s="2" t="s">
        <v>974</v>
      </c>
      <c r="S460" s="2">
        <v>54.0</v>
      </c>
      <c r="T460" s="2" t="s">
        <v>65</v>
      </c>
      <c r="U460" s="2" t="s">
        <v>974</v>
      </c>
      <c r="AI460" s="2" t="str">
        <f t="shared" si="9"/>
        <v/>
      </c>
      <c r="AJ460" s="2" t="s">
        <v>49</v>
      </c>
      <c r="AK460" s="2" t="s">
        <v>50</v>
      </c>
    </row>
    <row r="461" ht="15.75" customHeight="1">
      <c r="A461" s="2" t="s">
        <v>39</v>
      </c>
      <c r="B461" s="3" t="str">
        <f>HYPERLINK("https://www.senado.gob.ar/parlamentario/comisiones/verExp/654.25/S/PL","654")</f>
        <v>654</v>
      </c>
      <c r="C461" s="3" t="str">
        <f>HYPERLINK("https://www.senado.gob.ar/parlamentario/comisiones/verExp/654.25/S/PL","2025")</f>
        <v>2025</v>
      </c>
      <c r="D461" s="2" t="s">
        <v>56</v>
      </c>
      <c r="E461" s="2" t="s">
        <v>1010</v>
      </c>
      <c r="F461" s="2" t="s">
        <v>1001</v>
      </c>
      <c r="I461" s="2" t="s">
        <v>998</v>
      </c>
      <c r="K461" s="2" t="s">
        <v>44</v>
      </c>
      <c r="L461" s="2" t="s">
        <v>973</v>
      </c>
      <c r="N461" s="2" t="s">
        <v>1011</v>
      </c>
      <c r="O461" s="2">
        <v>76.0</v>
      </c>
      <c r="P461" s="2" t="s">
        <v>233</v>
      </c>
      <c r="Q461" s="2" t="s">
        <v>974</v>
      </c>
      <c r="S461" s="2">
        <v>75.0</v>
      </c>
      <c r="T461" s="2" t="s">
        <v>71</v>
      </c>
      <c r="U461" s="2" t="s">
        <v>974</v>
      </c>
      <c r="AI461" s="2" t="str">
        <f t="shared" si="9"/>
        <v/>
      </c>
      <c r="AJ461" s="2" t="s">
        <v>49</v>
      </c>
      <c r="AK461" s="2" t="s">
        <v>50</v>
      </c>
    </row>
    <row r="462" ht="15.75" customHeight="1">
      <c r="A462" s="2" t="s">
        <v>39</v>
      </c>
      <c r="B462" s="3" t="str">
        <f>HYPERLINK("https://www.senado.gob.ar/parlamentario/comisiones/verExp/651.25/S/PL","651")</f>
        <v>651</v>
      </c>
      <c r="C462" s="3" t="str">
        <f>HYPERLINK("https://www.senado.gob.ar/parlamentario/comisiones/verExp/651.25/S/PL","2025")</f>
        <v>2025</v>
      </c>
      <c r="D462" s="2" t="s">
        <v>56</v>
      </c>
      <c r="E462" s="2" t="s">
        <v>1012</v>
      </c>
      <c r="F462" s="2" t="s">
        <v>1001</v>
      </c>
      <c r="I462" s="2" t="s">
        <v>1013</v>
      </c>
      <c r="K462" s="2" t="s">
        <v>44</v>
      </c>
      <c r="L462" s="2" t="s">
        <v>973</v>
      </c>
      <c r="N462" s="2" t="s">
        <v>1009</v>
      </c>
      <c r="O462" s="2">
        <v>54.0</v>
      </c>
      <c r="P462" s="2" t="s">
        <v>65</v>
      </c>
      <c r="Q462" s="2" t="s">
        <v>974</v>
      </c>
      <c r="S462" s="2">
        <v>73.0</v>
      </c>
      <c r="T462" s="2" t="s">
        <v>237</v>
      </c>
      <c r="U462" s="2" t="s">
        <v>974</v>
      </c>
      <c r="AI462" s="2" t="str">
        <f t="shared" si="9"/>
        <v/>
      </c>
      <c r="AJ462" s="2" t="s">
        <v>49</v>
      </c>
      <c r="AK462" s="2" t="s">
        <v>50</v>
      </c>
    </row>
    <row r="463" ht="15.75" customHeight="1">
      <c r="A463" s="2" t="s">
        <v>39</v>
      </c>
      <c r="B463" s="3" t="str">
        <f>HYPERLINK("https://www.senado.gob.ar/parlamentario/comisiones/verExp/644.25/S/PL","644")</f>
        <v>644</v>
      </c>
      <c r="C463" s="3" t="str">
        <f>HYPERLINK("https://www.senado.gob.ar/parlamentario/comisiones/verExp/644.25/S/PL","2025")</f>
        <v>2025</v>
      </c>
      <c r="D463" s="2" t="s">
        <v>56</v>
      </c>
      <c r="E463" s="2" t="s">
        <v>1014</v>
      </c>
      <c r="F463" s="2" t="s">
        <v>1001</v>
      </c>
      <c r="I463" s="2" t="s">
        <v>1013</v>
      </c>
      <c r="K463" s="2" t="s">
        <v>44</v>
      </c>
      <c r="L463" s="2" t="s">
        <v>973</v>
      </c>
      <c r="N463" s="2" t="s">
        <v>437</v>
      </c>
      <c r="O463" s="2">
        <v>50.0</v>
      </c>
      <c r="P463" s="2" t="s">
        <v>47</v>
      </c>
      <c r="Q463" s="2" t="s">
        <v>974</v>
      </c>
      <c r="S463" s="2">
        <v>53.0</v>
      </c>
      <c r="T463" s="2" t="s">
        <v>76</v>
      </c>
      <c r="U463" s="2" t="s">
        <v>974</v>
      </c>
      <c r="W463" s="2">
        <v>64.0</v>
      </c>
      <c r="X463" s="2" t="s">
        <v>186</v>
      </c>
      <c r="Y463" s="2" t="s">
        <v>974</v>
      </c>
      <c r="AI463" s="2" t="str">
        <f t="shared" si="9"/>
        <v/>
      </c>
      <c r="AJ463" s="2" t="s">
        <v>49</v>
      </c>
      <c r="AK463" s="2" t="s">
        <v>50</v>
      </c>
    </row>
    <row r="464" ht="15.75" customHeight="1">
      <c r="A464" s="2" t="s">
        <v>39</v>
      </c>
      <c r="B464" s="3" t="str">
        <f>HYPERLINK("https://www.senado.gob.ar/parlamentario/comisiones/verExp/643.25/S/PL","643")</f>
        <v>643</v>
      </c>
      <c r="C464" s="3" t="str">
        <f>HYPERLINK("https://www.senado.gob.ar/parlamentario/comisiones/verExp/643.25/S/PL","2025")</f>
        <v>2025</v>
      </c>
      <c r="D464" s="2" t="s">
        <v>56</v>
      </c>
      <c r="E464" s="2" t="s">
        <v>1015</v>
      </c>
      <c r="F464" s="2" t="s">
        <v>1001</v>
      </c>
      <c r="I464" s="2" t="s">
        <v>1016</v>
      </c>
      <c r="K464" s="2" t="s">
        <v>44</v>
      </c>
      <c r="L464" s="2" t="s">
        <v>973</v>
      </c>
      <c r="N464" s="2" t="s">
        <v>1009</v>
      </c>
      <c r="O464" s="2">
        <v>75.0</v>
      </c>
      <c r="P464" s="2" t="s">
        <v>71</v>
      </c>
      <c r="Q464" s="2" t="s">
        <v>974</v>
      </c>
      <c r="AI464" s="2" t="str">
        <f t="shared" si="9"/>
        <v/>
      </c>
      <c r="AJ464" s="2" t="s">
        <v>49</v>
      </c>
      <c r="AK464" s="2" t="s">
        <v>50</v>
      </c>
    </row>
    <row r="465" ht="15.75" customHeight="1">
      <c r="A465" s="2" t="s">
        <v>39</v>
      </c>
      <c r="B465" s="3" t="str">
        <f>HYPERLINK("https://www.senado.gob.ar/parlamentario/comisiones/verExp/642.25/S/PL","642")</f>
        <v>642</v>
      </c>
      <c r="C465" s="3" t="str">
        <f>HYPERLINK("https://www.senado.gob.ar/parlamentario/comisiones/verExp/642.25/S/PL","2025")</f>
        <v>2025</v>
      </c>
      <c r="D465" s="2" t="s">
        <v>56</v>
      </c>
      <c r="E465" s="2" t="s">
        <v>1017</v>
      </c>
      <c r="F465" s="2" t="s">
        <v>1018</v>
      </c>
      <c r="I465" s="2" t="s">
        <v>1016</v>
      </c>
      <c r="K465" s="2" t="s">
        <v>44</v>
      </c>
      <c r="L465" s="2" t="s">
        <v>973</v>
      </c>
      <c r="N465" s="2" t="s">
        <v>1019</v>
      </c>
      <c r="O465" s="2">
        <v>75.0</v>
      </c>
      <c r="P465" s="2" t="s">
        <v>71</v>
      </c>
      <c r="Q465" s="2" t="s">
        <v>974</v>
      </c>
      <c r="AI465" s="2" t="str">
        <f t="shared" si="9"/>
        <v/>
      </c>
      <c r="AJ465" s="2" t="s">
        <v>49</v>
      </c>
      <c r="AK465" s="2" t="s">
        <v>50</v>
      </c>
    </row>
    <row r="466" ht="15.75" customHeight="1">
      <c r="A466" s="2" t="s">
        <v>39</v>
      </c>
      <c r="B466" s="3" t="str">
        <f>HYPERLINK("https://www.senado.gob.ar/parlamentario/comisiones/verExp/641.25/S/PL","641")</f>
        <v>641</v>
      </c>
      <c r="C466" s="3" t="str">
        <f>HYPERLINK("https://www.senado.gob.ar/parlamentario/comisiones/verExp/641.25/S/PL","2025")</f>
        <v>2025</v>
      </c>
      <c r="D466" s="2" t="s">
        <v>56</v>
      </c>
      <c r="E466" s="2" t="s">
        <v>1020</v>
      </c>
      <c r="F466" s="2" t="s">
        <v>1018</v>
      </c>
      <c r="I466" s="2" t="s">
        <v>1016</v>
      </c>
      <c r="K466" s="2" t="s">
        <v>44</v>
      </c>
      <c r="L466" s="2" t="s">
        <v>973</v>
      </c>
      <c r="N466" s="2" t="s">
        <v>1009</v>
      </c>
      <c r="O466" s="2">
        <v>75.0</v>
      </c>
      <c r="P466" s="2" t="s">
        <v>71</v>
      </c>
      <c r="Q466" s="2" t="s">
        <v>974</v>
      </c>
      <c r="S466" s="2">
        <v>54.0</v>
      </c>
      <c r="T466" s="2" t="s">
        <v>65</v>
      </c>
      <c r="U466" s="2" t="s">
        <v>974</v>
      </c>
      <c r="AI466" s="2" t="str">
        <f t="shared" si="9"/>
        <v/>
      </c>
      <c r="AJ466" s="2" t="s">
        <v>49</v>
      </c>
      <c r="AK466" s="2" t="s">
        <v>50</v>
      </c>
    </row>
    <row r="467" ht="15.75" customHeight="1">
      <c r="A467" s="2" t="s">
        <v>39</v>
      </c>
      <c r="B467" s="3" t="str">
        <f>HYPERLINK("https://www.senado.gob.ar/parlamentario/comisiones/verExp/640.25/S/PL","640")</f>
        <v>640</v>
      </c>
      <c r="C467" s="3" t="str">
        <f>HYPERLINK("https://www.senado.gob.ar/parlamentario/comisiones/verExp/640.25/S/PL","2025")</f>
        <v>2025</v>
      </c>
      <c r="D467" s="2" t="s">
        <v>56</v>
      </c>
      <c r="E467" s="2" t="s">
        <v>1021</v>
      </c>
      <c r="F467" s="2" t="s">
        <v>1018</v>
      </c>
      <c r="I467" s="2" t="s">
        <v>1016</v>
      </c>
      <c r="K467" s="2" t="s">
        <v>44</v>
      </c>
      <c r="L467" s="2" t="s">
        <v>973</v>
      </c>
      <c r="N467" s="2" t="s">
        <v>1009</v>
      </c>
      <c r="O467" s="2">
        <v>75.0</v>
      </c>
      <c r="P467" s="2" t="s">
        <v>71</v>
      </c>
      <c r="Q467" s="2" t="s">
        <v>974</v>
      </c>
      <c r="AI467" s="2" t="str">
        <f t="shared" si="9"/>
        <v/>
      </c>
      <c r="AJ467" s="2" t="s">
        <v>49</v>
      </c>
      <c r="AK467" s="2" t="s">
        <v>50</v>
      </c>
    </row>
    <row r="468" ht="15.75" customHeight="1">
      <c r="A468" s="2" t="s">
        <v>39</v>
      </c>
      <c r="B468" s="3" t="str">
        <f>HYPERLINK("https://www.senado.gob.ar/parlamentario/comisiones/verExp/625.25/S/PL","625")</f>
        <v>625</v>
      </c>
      <c r="C468" s="3" t="str">
        <f>HYPERLINK("https://www.senado.gob.ar/parlamentario/comisiones/verExp/625.25/S/PL","2025")</f>
        <v>2025</v>
      </c>
      <c r="D468" s="2" t="s">
        <v>56</v>
      </c>
      <c r="E468" s="2" t="s">
        <v>1022</v>
      </c>
      <c r="F468" s="2" t="s">
        <v>1018</v>
      </c>
      <c r="I468" s="2" t="s">
        <v>1016</v>
      </c>
      <c r="K468" s="2" t="s">
        <v>44</v>
      </c>
      <c r="L468" s="2" t="s">
        <v>973</v>
      </c>
      <c r="N468" s="2" t="s">
        <v>261</v>
      </c>
      <c r="O468" s="2">
        <v>75.0</v>
      </c>
      <c r="P468" s="2" t="s">
        <v>71</v>
      </c>
      <c r="Q468" s="2" t="s">
        <v>974</v>
      </c>
      <c r="AI468" s="2" t="str">
        <f t="shared" si="9"/>
        <v/>
      </c>
      <c r="AJ468" s="2" t="s">
        <v>49</v>
      </c>
      <c r="AK468" s="2" t="s">
        <v>50</v>
      </c>
    </row>
    <row r="469" ht="15.75" customHeight="1">
      <c r="A469" s="2" t="s">
        <v>39</v>
      </c>
      <c r="B469" s="3" t="str">
        <f>HYPERLINK("https://www.senado.gob.ar/parlamentario/comisiones/verExp/624.25/S/PL","624")</f>
        <v>624</v>
      </c>
      <c r="C469" s="3" t="str">
        <f>HYPERLINK("https://www.senado.gob.ar/parlamentario/comisiones/verExp/624.25/S/PL","2025")</f>
        <v>2025</v>
      </c>
      <c r="D469" s="2" t="s">
        <v>56</v>
      </c>
      <c r="E469" s="2" t="s">
        <v>1023</v>
      </c>
      <c r="F469" s="2" t="s">
        <v>1024</v>
      </c>
      <c r="I469" s="2" t="s">
        <v>1016</v>
      </c>
      <c r="K469" s="2" t="s">
        <v>44</v>
      </c>
      <c r="L469" s="2" t="s">
        <v>973</v>
      </c>
      <c r="N469" s="2" t="s">
        <v>261</v>
      </c>
      <c r="O469" s="2">
        <v>75.0</v>
      </c>
      <c r="P469" s="2" t="s">
        <v>71</v>
      </c>
      <c r="Q469" s="2" t="s">
        <v>974</v>
      </c>
      <c r="AI469" s="2" t="str">
        <f t="shared" si="9"/>
        <v/>
      </c>
      <c r="AJ469" s="2" t="s">
        <v>49</v>
      </c>
      <c r="AK469" s="2" t="s">
        <v>50</v>
      </c>
    </row>
    <row r="470" ht="15.75" customHeight="1">
      <c r="A470" s="2" t="s">
        <v>39</v>
      </c>
      <c r="B470" s="3" t="str">
        <f>HYPERLINK("https://www.senado.gob.ar/parlamentario/comisiones/verExp/619.25/S/PL","619")</f>
        <v>619</v>
      </c>
      <c r="C470" s="3" t="str">
        <f>HYPERLINK("https://www.senado.gob.ar/parlamentario/comisiones/verExp/619.25/S/PL","2025")</f>
        <v>2025</v>
      </c>
      <c r="D470" s="2" t="s">
        <v>56</v>
      </c>
      <c r="E470" s="2" t="s">
        <v>1025</v>
      </c>
      <c r="F470" s="2" t="s">
        <v>1024</v>
      </c>
      <c r="I470" s="2" t="s">
        <v>1026</v>
      </c>
      <c r="K470" s="2" t="s">
        <v>44</v>
      </c>
      <c r="L470" s="2" t="s">
        <v>973</v>
      </c>
      <c r="N470" s="2" t="s">
        <v>160</v>
      </c>
      <c r="O470" s="2">
        <v>76.0</v>
      </c>
      <c r="P470" s="2" t="s">
        <v>233</v>
      </c>
      <c r="Q470" s="2" t="s">
        <v>974</v>
      </c>
      <c r="AI470" s="2" t="str">
        <f t="shared" si="9"/>
        <v/>
      </c>
      <c r="AJ470" s="2" t="s">
        <v>49</v>
      </c>
      <c r="AK470" s="2" t="s">
        <v>50</v>
      </c>
    </row>
    <row r="471" ht="15.75" customHeight="1">
      <c r="A471" s="2" t="s">
        <v>39</v>
      </c>
      <c r="B471" s="3" t="str">
        <f>HYPERLINK("https://www.senado.gob.ar/parlamentario/comisiones/verExp/618.25/S/PL","618")</f>
        <v>618</v>
      </c>
      <c r="C471" s="3" t="str">
        <f>HYPERLINK("https://www.senado.gob.ar/parlamentario/comisiones/verExp/618.25/S/PL","2025")</f>
        <v>2025</v>
      </c>
      <c r="D471" s="2" t="s">
        <v>56</v>
      </c>
      <c r="E471" s="2" t="s">
        <v>1027</v>
      </c>
      <c r="F471" s="2" t="s">
        <v>1024</v>
      </c>
      <c r="I471" s="2" t="s">
        <v>1026</v>
      </c>
      <c r="K471" s="2" t="s">
        <v>44</v>
      </c>
      <c r="L471" s="2" t="s">
        <v>973</v>
      </c>
      <c r="N471" s="2" t="s">
        <v>409</v>
      </c>
      <c r="O471" s="2">
        <v>54.0</v>
      </c>
      <c r="P471" s="2" t="s">
        <v>65</v>
      </c>
      <c r="Q471" s="2" t="s">
        <v>974</v>
      </c>
      <c r="S471" s="2">
        <v>72.0</v>
      </c>
      <c r="T471" s="2" t="s">
        <v>243</v>
      </c>
      <c r="U471" s="2" t="s">
        <v>974</v>
      </c>
      <c r="AI471" s="2" t="str">
        <f t="shared" si="9"/>
        <v/>
      </c>
      <c r="AJ471" s="2" t="s">
        <v>49</v>
      </c>
      <c r="AK471" s="2" t="s">
        <v>50</v>
      </c>
    </row>
    <row r="472" ht="15.75" customHeight="1">
      <c r="A472" s="2" t="s">
        <v>39</v>
      </c>
      <c r="B472" s="3" t="str">
        <f>HYPERLINK("https://www.senado.gob.ar/parlamentario/comisiones/verExp/615.25/S/PL","615")</f>
        <v>615</v>
      </c>
      <c r="C472" s="3" t="str">
        <f>HYPERLINK("https://www.senado.gob.ar/parlamentario/comisiones/verExp/615.25/S/PL","2025")</f>
        <v>2025</v>
      </c>
      <c r="D472" s="2" t="s">
        <v>56</v>
      </c>
      <c r="E472" s="2" t="s">
        <v>1028</v>
      </c>
      <c r="F472" s="2" t="s">
        <v>1024</v>
      </c>
      <c r="I472" s="2" t="s">
        <v>1026</v>
      </c>
      <c r="K472" s="2" t="s">
        <v>44</v>
      </c>
      <c r="L472" s="2" t="s">
        <v>973</v>
      </c>
      <c r="N472" s="2" t="s">
        <v>1029</v>
      </c>
      <c r="O472" s="2">
        <v>61.0</v>
      </c>
      <c r="P472" s="2" t="s">
        <v>104</v>
      </c>
      <c r="Q472" s="2" t="s">
        <v>974</v>
      </c>
      <c r="S472" s="2">
        <v>78.0</v>
      </c>
      <c r="T472" s="2" t="s">
        <v>73</v>
      </c>
      <c r="U472" s="2" t="s">
        <v>974</v>
      </c>
      <c r="W472" s="2">
        <v>54.0</v>
      </c>
      <c r="X472" s="2" t="s">
        <v>65</v>
      </c>
      <c r="Y472" s="2" t="s">
        <v>974</v>
      </c>
      <c r="AI472" s="2" t="str">
        <f t="shared" si="9"/>
        <v/>
      </c>
      <c r="AJ472" s="2" t="s">
        <v>49</v>
      </c>
      <c r="AK472" s="2" t="s">
        <v>50</v>
      </c>
    </row>
    <row r="473" ht="15.75" customHeight="1">
      <c r="A473" s="2" t="s">
        <v>39</v>
      </c>
      <c r="B473" s="3" t="str">
        <f>HYPERLINK("https://www.senado.gob.ar/parlamentario/comisiones/verExp/614.25/S/PL","614")</f>
        <v>614</v>
      </c>
      <c r="C473" s="3" t="str">
        <f>HYPERLINK("https://www.senado.gob.ar/parlamentario/comisiones/verExp/614.25/S/PL","2025")</f>
        <v>2025</v>
      </c>
      <c r="D473" s="2" t="s">
        <v>56</v>
      </c>
      <c r="E473" s="2" t="s">
        <v>1030</v>
      </c>
      <c r="F473" s="2" t="s">
        <v>1024</v>
      </c>
      <c r="I473" s="2" t="s">
        <v>1026</v>
      </c>
      <c r="K473" s="2" t="s">
        <v>44</v>
      </c>
      <c r="L473" s="2" t="s">
        <v>973</v>
      </c>
      <c r="N473" s="2" t="s">
        <v>183</v>
      </c>
      <c r="O473" s="2">
        <v>61.0</v>
      </c>
      <c r="P473" s="2" t="s">
        <v>104</v>
      </c>
      <c r="Q473" s="2" t="s">
        <v>974</v>
      </c>
      <c r="S473" s="2">
        <v>54.0</v>
      </c>
      <c r="T473" s="2" t="s">
        <v>65</v>
      </c>
      <c r="U473" s="2" t="s">
        <v>974</v>
      </c>
      <c r="AI473" s="2" t="str">
        <f t="shared" si="9"/>
        <v/>
      </c>
      <c r="AJ473" s="2" t="s">
        <v>49</v>
      </c>
      <c r="AK473" s="2" t="s">
        <v>50</v>
      </c>
    </row>
    <row r="474" ht="15.75" customHeight="1">
      <c r="A474" s="2" t="s">
        <v>39</v>
      </c>
      <c r="B474" s="3" t="str">
        <f>HYPERLINK("https://www.senado.gob.ar/parlamentario/comisiones/verExp/613.25/S/PL","613")</f>
        <v>613</v>
      </c>
      <c r="C474" s="3" t="str">
        <f>HYPERLINK("https://www.senado.gob.ar/parlamentario/comisiones/verExp/613.25/S/PL","2025")</f>
        <v>2025</v>
      </c>
      <c r="D474" s="2" t="s">
        <v>56</v>
      </c>
      <c r="E474" s="2" t="s">
        <v>1031</v>
      </c>
      <c r="F474" s="2" t="s">
        <v>1024</v>
      </c>
      <c r="I474" s="2" t="s">
        <v>1026</v>
      </c>
      <c r="K474" s="2" t="s">
        <v>44</v>
      </c>
      <c r="L474" s="2" t="s">
        <v>973</v>
      </c>
      <c r="N474" s="2" t="s">
        <v>183</v>
      </c>
      <c r="O474" s="2">
        <v>61.0</v>
      </c>
      <c r="P474" s="2" t="s">
        <v>104</v>
      </c>
      <c r="Q474" s="2" t="s">
        <v>974</v>
      </c>
      <c r="S474" s="2">
        <v>54.0</v>
      </c>
      <c r="T474" s="2" t="s">
        <v>65</v>
      </c>
      <c r="U474" s="2" t="s">
        <v>974</v>
      </c>
      <c r="AI474" s="2" t="str">
        <f t="shared" si="9"/>
        <v/>
      </c>
      <c r="AJ474" s="2" t="s">
        <v>49</v>
      </c>
      <c r="AK474" s="2" t="s">
        <v>50</v>
      </c>
    </row>
    <row r="475" ht="15.75" customHeight="1">
      <c r="A475" s="2" t="s">
        <v>39</v>
      </c>
      <c r="B475" s="3" t="str">
        <f>HYPERLINK("https://www.senado.gob.ar/parlamentario/comisiones/verExp/604.25/S/PL","604")</f>
        <v>604</v>
      </c>
      <c r="C475" s="3" t="str">
        <f>HYPERLINK("https://www.senado.gob.ar/parlamentario/comisiones/verExp/604.25/S/PL","2025")</f>
        <v>2025</v>
      </c>
      <c r="D475" s="2" t="s">
        <v>56</v>
      </c>
      <c r="E475" s="2" t="s">
        <v>1032</v>
      </c>
      <c r="F475" s="2" t="s">
        <v>1033</v>
      </c>
      <c r="I475" s="2" t="s">
        <v>1034</v>
      </c>
      <c r="K475" s="2" t="s">
        <v>44</v>
      </c>
      <c r="L475" s="2" t="s">
        <v>973</v>
      </c>
      <c r="N475" s="2" t="s">
        <v>1035</v>
      </c>
      <c r="O475" s="2">
        <v>53.0</v>
      </c>
      <c r="P475" s="2" t="s">
        <v>76</v>
      </c>
      <c r="Q475" s="2" t="s">
        <v>974</v>
      </c>
      <c r="S475" s="2">
        <v>75.0</v>
      </c>
      <c r="T475" s="2" t="s">
        <v>71</v>
      </c>
      <c r="U475" s="2" t="s">
        <v>974</v>
      </c>
      <c r="W475" s="2">
        <v>54.0</v>
      </c>
      <c r="X475" s="2" t="s">
        <v>65</v>
      </c>
      <c r="Y475" s="2" t="s">
        <v>974</v>
      </c>
      <c r="AI475" s="2" t="str">
        <f t="shared" si="9"/>
        <v/>
      </c>
      <c r="AJ475" s="2" t="s">
        <v>49</v>
      </c>
      <c r="AK475" s="2" t="s">
        <v>50</v>
      </c>
    </row>
    <row r="476" ht="15.75" customHeight="1">
      <c r="A476" s="2" t="s">
        <v>39</v>
      </c>
      <c r="B476" s="3" t="str">
        <f>HYPERLINK("https://www.senado.gob.ar/parlamentario/comisiones/verExp/597.25/S/PR","597")</f>
        <v>597</v>
      </c>
      <c r="C476" s="3" t="str">
        <f>HYPERLINK("https://www.senado.gob.ar/parlamentario/comisiones/verExp/597.25/S/PR","2025")</f>
        <v>2025</v>
      </c>
      <c r="D476" s="2" t="s">
        <v>145</v>
      </c>
      <c r="E476" s="2" t="s">
        <v>1036</v>
      </c>
      <c r="F476" s="2" t="s">
        <v>1033</v>
      </c>
      <c r="I476" s="2" t="s">
        <v>1037</v>
      </c>
      <c r="K476" s="2" t="s">
        <v>44</v>
      </c>
      <c r="L476" s="2" t="s">
        <v>973</v>
      </c>
      <c r="N476" s="2" t="s">
        <v>785</v>
      </c>
      <c r="O476" s="2">
        <v>50.0</v>
      </c>
      <c r="P476" s="2" t="s">
        <v>47</v>
      </c>
      <c r="Q476" s="2" t="s">
        <v>974</v>
      </c>
      <c r="S476" s="2">
        <v>51.0</v>
      </c>
      <c r="T476" s="2" t="s">
        <v>62</v>
      </c>
      <c r="U476" s="2" t="s">
        <v>974</v>
      </c>
      <c r="AI476" s="2" t="str">
        <f t="shared" si="9"/>
        <v/>
      </c>
      <c r="AJ476" s="2" t="s">
        <v>49</v>
      </c>
      <c r="AK476" s="2" t="s">
        <v>50</v>
      </c>
    </row>
    <row r="477" ht="15.75" customHeight="1">
      <c r="A477" s="2" t="s">
        <v>39</v>
      </c>
      <c r="B477" s="3" t="str">
        <f>HYPERLINK("https://www.senado.gob.ar/parlamentario/comisiones/verExp/579.25/S/PL","579")</f>
        <v>579</v>
      </c>
      <c r="C477" s="3" t="str">
        <f>HYPERLINK("https://www.senado.gob.ar/parlamentario/comisiones/verExp/579.25/S/PL","2025")</f>
        <v>2025</v>
      </c>
      <c r="D477" s="2" t="s">
        <v>56</v>
      </c>
      <c r="E477" s="2" t="s">
        <v>1038</v>
      </c>
      <c r="F477" s="2" t="s">
        <v>1039</v>
      </c>
      <c r="I477" s="2" t="s">
        <v>1040</v>
      </c>
      <c r="K477" s="2" t="s">
        <v>1041</v>
      </c>
      <c r="L477" s="2" t="s">
        <v>1042</v>
      </c>
      <c r="N477" s="2" t="s">
        <v>261</v>
      </c>
      <c r="O477" s="2">
        <v>68.0</v>
      </c>
      <c r="P477" s="2" t="s">
        <v>180</v>
      </c>
      <c r="Q477" s="2" t="s">
        <v>974</v>
      </c>
      <c r="R477" s="2" t="s">
        <v>1043</v>
      </c>
      <c r="S477" s="2">
        <v>68.0</v>
      </c>
      <c r="T477" s="2" t="s">
        <v>180</v>
      </c>
      <c r="U477" s="2" t="s">
        <v>659</v>
      </c>
      <c r="W477" s="2">
        <v>54.0</v>
      </c>
      <c r="X477" s="2" t="s">
        <v>65</v>
      </c>
      <c r="Y477" s="2" t="s">
        <v>974</v>
      </c>
      <c r="Z477" s="2" t="s">
        <v>1043</v>
      </c>
      <c r="AA477" s="2">
        <v>54.0</v>
      </c>
      <c r="AB477" s="2" t="s">
        <v>65</v>
      </c>
      <c r="AC477" s="2" t="s">
        <v>659</v>
      </c>
      <c r="AI477" s="3" t="str">
        <f>HYPERLINK("https://www.senado.gob.ar/parlamentario/parlamentaria/ordenDelDiaResultadoLink/2025/571"," 571 2025 RB -")</f>
        <v> 571 2025 RB -</v>
      </c>
      <c r="AJ477" s="2" t="s">
        <v>49</v>
      </c>
      <c r="AK477" s="2" t="s">
        <v>50</v>
      </c>
    </row>
    <row r="478" ht="15.75" customHeight="1">
      <c r="A478" s="2" t="s">
        <v>39</v>
      </c>
      <c r="B478" s="3" t="str">
        <f>HYPERLINK("https://www.senado.gob.ar/parlamentario/comisiones/verExp/572.25/S/PL","572")</f>
        <v>572</v>
      </c>
      <c r="C478" s="3" t="str">
        <f>HYPERLINK("https://www.senado.gob.ar/parlamentario/comisiones/verExp/572.25/S/PL","2025")</f>
        <v>2025</v>
      </c>
      <c r="D478" s="2" t="s">
        <v>56</v>
      </c>
      <c r="E478" s="2" t="s">
        <v>1044</v>
      </c>
      <c r="F478" s="2" t="s">
        <v>1039</v>
      </c>
      <c r="I478" s="2" t="s">
        <v>1040</v>
      </c>
      <c r="K478" s="2" t="s">
        <v>44</v>
      </c>
      <c r="L478" s="2" t="s">
        <v>973</v>
      </c>
      <c r="N478" s="2" t="s">
        <v>628</v>
      </c>
      <c r="O478" s="2">
        <v>54.0</v>
      </c>
      <c r="P478" s="2" t="s">
        <v>65</v>
      </c>
      <c r="Q478" s="2" t="s">
        <v>974</v>
      </c>
      <c r="AI478" s="2" t="str">
        <f t="shared" ref="AI478:AI559" si="10">HYPERLINK("","")</f>
        <v/>
      </c>
      <c r="AJ478" s="2" t="s">
        <v>49</v>
      </c>
      <c r="AK478" s="2" t="s">
        <v>50</v>
      </c>
    </row>
    <row r="479" ht="15.75" customHeight="1">
      <c r="A479" s="2" t="s">
        <v>39</v>
      </c>
      <c r="B479" s="3" t="str">
        <f>HYPERLINK("https://www.senado.gob.ar/parlamentario/comisiones/verExp/571.25/S/PL","571")</f>
        <v>571</v>
      </c>
      <c r="C479" s="3" t="str">
        <f>HYPERLINK("https://www.senado.gob.ar/parlamentario/comisiones/verExp/571.25/S/PL","2025")</f>
        <v>2025</v>
      </c>
      <c r="D479" s="2" t="s">
        <v>56</v>
      </c>
      <c r="E479" s="2" t="s">
        <v>1045</v>
      </c>
      <c r="F479" s="2" t="s">
        <v>1039</v>
      </c>
      <c r="I479" s="2" t="s">
        <v>1040</v>
      </c>
      <c r="K479" s="2" t="s">
        <v>44</v>
      </c>
      <c r="L479" s="2" t="s">
        <v>973</v>
      </c>
      <c r="N479" s="2" t="s">
        <v>628</v>
      </c>
      <c r="O479" s="2">
        <v>75.0</v>
      </c>
      <c r="P479" s="2" t="s">
        <v>71</v>
      </c>
      <c r="Q479" s="2" t="s">
        <v>974</v>
      </c>
      <c r="S479" s="2">
        <v>54.0</v>
      </c>
      <c r="T479" s="2" t="s">
        <v>65</v>
      </c>
      <c r="U479" s="2" t="s">
        <v>974</v>
      </c>
      <c r="AI479" s="2" t="str">
        <f t="shared" si="10"/>
        <v/>
      </c>
      <c r="AJ479" s="2" t="s">
        <v>49</v>
      </c>
      <c r="AK479" s="2" t="s">
        <v>50</v>
      </c>
    </row>
    <row r="480" ht="15.75" customHeight="1">
      <c r="A480" s="2" t="s">
        <v>39</v>
      </c>
      <c r="B480" s="3" t="str">
        <f>HYPERLINK("https://www.senado.gob.ar/parlamentario/comisiones/verExp/570.25/S/PL","570")</f>
        <v>570</v>
      </c>
      <c r="C480" s="3" t="str">
        <f>HYPERLINK("https://www.senado.gob.ar/parlamentario/comisiones/verExp/570.25/S/PL","2025")</f>
        <v>2025</v>
      </c>
      <c r="D480" s="2" t="s">
        <v>56</v>
      </c>
      <c r="E480" s="2" t="s">
        <v>1046</v>
      </c>
      <c r="F480" s="2" t="s">
        <v>1039</v>
      </c>
      <c r="I480" s="2" t="s">
        <v>1040</v>
      </c>
      <c r="K480" s="2" t="s">
        <v>44</v>
      </c>
      <c r="L480" s="2" t="s">
        <v>973</v>
      </c>
      <c r="N480" s="2" t="s">
        <v>75</v>
      </c>
      <c r="O480" s="2">
        <v>65.0</v>
      </c>
      <c r="P480" s="2" t="s">
        <v>153</v>
      </c>
      <c r="Q480" s="2" t="s">
        <v>974</v>
      </c>
      <c r="S480" s="2">
        <v>55.0</v>
      </c>
      <c r="T480" s="2" t="s">
        <v>336</v>
      </c>
      <c r="U480" s="2" t="s">
        <v>974</v>
      </c>
      <c r="AI480" s="2" t="str">
        <f t="shared" si="10"/>
        <v/>
      </c>
      <c r="AJ480" s="2" t="s">
        <v>49</v>
      </c>
      <c r="AK480" s="2" t="s">
        <v>50</v>
      </c>
    </row>
    <row r="481" ht="15.75" customHeight="1">
      <c r="A481" s="2" t="s">
        <v>39</v>
      </c>
      <c r="B481" s="3" t="str">
        <f>HYPERLINK("https://www.senado.gob.ar/parlamentario/comisiones/verExp/567.25/S/PL","567")</f>
        <v>567</v>
      </c>
      <c r="C481" s="3" t="str">
        <f>HYPERLINK("https://www.senado.gob.ar/parlamentario/comisiones/verExp/567.25/S/PL","2025")</f>
        <v>2025</v>
      </c>
      <c r="D481" s="2" t="s">
        <v>56</v>
      </c>
      <c r="E481" s="2" t="s">
        <v>1047</v>
      </c>
      <c r="F481" s="2" t="s">
        <v>1039</v>
      </c>
      <c r="I481" s="2" t="s">
        <v>1040</v>
      </c>
      <c r="K481" s="2" t="s">
        <v>44</v>
      </c>
      <c r="L481" s="2" t="s">
        <v>973</v>
      </c>
      <c r="N481" s="2" t="s">
        <v>1048</v>
      </c>
      <c r="O481" s="2">
        <v>70.0</v>
      </c>
      <c r="P481" s="2" t="s">
        <v>166</v>
      </c>
      <c r="Q481" s="2" t="s">
        <v>974</v>
      </c>
      <c r="S481" s="2">
        <v>53.0</v>
      </c>
      <c r="T481" s="2" t="s">
        <v>76</v>
      </c>
      <c r="U481" s="2" t="s">
        <v>974</v>
      </c>
      <c r="W481" s="2">
        <v>52.0</v>
      </c>
      <c r="X481" s="2" t="s">
        <v>78</v>
      </c>
      <c r="Y481" s="2" t="s">
        <v>974</v>
      </c>
      <c r="AI481" s="2" t="str">
        <f t="shared" si="10"/>
        <v/>
      </c>
      <c r="AJ481" s="2" t="s">
        <v>49</v>
      </c>
      <c r="AK481" s="2" t="s">
        <v>50</v>
      </c>
    </row>
    <row r="482" ht="15.75" customHeight="1">
      <c r="A482" s="2" t="s">
        <v>39</v>
      </c>
      <c r="B482" s="3" t="str">
        <f>HYPERLINK("https://www.senado.gob.ar/parlamentario/comisiones/verExp/564.25/S/PL","564")</f>
        <v>564</v>
      </c>
      <c r="C482" s="3" t="str">
        <f>HYPERLINK("https://www.senado.gob.ar/parlamentario/comisiones/verExp/564.25/S/PL","2025")</f>
        <v>2025</v>
      </c>
      <c r="D482" s="2" t="s">
        <v>56</v>
      </c>
      <c r="E482" s="2" t="s">
        <v>1049</v>
      </c>
      <c r="F482" s="2" t="s">
        <v>1039</v>
      </c>
      <c r="I482" s="2" t="s">
        <v>1040</v>
      </c>
      <c r="K482" s="2" t="s">
        <v>44</v>
      </c>
      <c r="L482" s="2" t="s">
        <v>973</v>
      </c>
      <c r="N482" s="2" t="s">
        <v>1050</v>
      </c>
      <c r="O482" s="2">
        <v>58.0</v>
      </c>
      <c r="P482" s="2" t="s">
        <v>194</v>
      </c>
      <c r="Q482" s="2" t="s">
        <v>974</v>
      </c>
      <c r="S482" s="2">
        <v>54.0</v>
      </c>
      <c r="T482" s="2" t="s">
        <v>65</v>
      </c>
      <c r="U482" s="2" t="s">
        <v>974</v>
      </c>
      <c r="AI482" s="2" t="str">
        <f t="shared" si="10"/>
        <v/>
      </c>
      <c r="AJ482" s="2" t="s">
        <v>49</v>
      </c>
      <c r="AK482" s="2" t="s">
        <v>50</v>
      </c>
    </row>
    <row r="483" ht="15.75" customHeight="1">
      <c r="A483" s="2" t="s">
        <v>39</v>
      </c>
      <c r="B483" s="3" t="str">
        <f>HYPERLINK("https://www.senado.gob.ar/parlamentario/comisiones/verExp/557.25/S/PL","557")</f>
        <v>557</v>
      </c>
      <c r="C483" s="3" t="str">
        <f>HYPERLINK("https://www.senado.gob.ar/parlamentario/comisiones/verExp/557.25/S/PL","2025")</f>
        <v>2025</v>
      </c>
      <c r="D483" s="2" t="s">
        <v>56</v>
      </c>
      <c r="E483" s="2" t="s">
        <v>1051</v>
      </c>
      <c r="F483" s="2" t="s">
        <v>1052</v>
      </c>
      <c r="I483" s="2" t="s">
        <v>1053</v>
      </c>
      <c r="K483" s="2" t="s">
        <v>44</v>
      </c>
      <c r="L483" s="2" t="s">
        <v>1040</v>
      </c>
      <c r="N483" s="2" t="s">
        <v>1054</v>
      </c>
      <c r="O483" s="2">
        <v>51.0</v>
      </c>
      <c r="P483" s="2" t="s">
        <v>62</v>
      </c>
      <c r="Q483" s="2" t="s">
        <v>1055</v>
      </c>
      <c r="S483" s="2">
        <v>75.0</v>
      </c>
      <c r="T483" s="2" t="s">
        <v>71</v>
      </c>
      <c r="U483" s="2" t="s">
        <v>1055</v>
      </c>
      <c r="AI483" s="2" t="str">
        <f t="shared" si="10"/>
        <v/>
      </c>
      <c r="AJ483" s="2" t="s">
        <v>49</v>
      </c>
      <c r="AK483" s="2" t="s">
        <v>50</v>
      </c>
    </row>
    <row r="484" ht="15.75" customHeight="1">
      <c r="A484" s="2" t="s">
        <v>39</v>
      </c>
      <c r="B484" s="3" t="str">
        <f>HYPERLINK("https://www.senado.gob.ar/parlamentario/comisiones/verExp/556.25/S/PL","556")</f>
        <v>556</v>
      </c>
      <c r="C484" s="3" t="str">
        <f>HYPERLINK("https://www.senado.gob.ar/parlamentario/comisiones/verExp/556.25/S/PL","2025")</f>
        <v>2025</v>
      </c>
      <c r="D484" s="2" t="s">
        <v>56</v>
      </c>
      <c r="E484" s="2" t="s">
        <v>1056</v>
      </c>
      <c r="F484" s="2" t="s">
        <v>1052</v>
      </c>
      <c r="I484" s="2" t="s">
        <v>1053</v>
      </c>
      <c r="K484" s="2" t="s">
        <v>44</v>
      </c>
      <c r="L484" s="2" t="s">
        <v>1040</v>
      </c>
      <c r="N484" s="2" t="s">
        <v>1057</v>
      </c>
      <c r="O484" s="2">
        <v>74.0</v>
      </c>
      <c r="P484" s="2" t="s">
        <v>256</v>
      </c>
      <c r="Q484" s="2" t="s">
        <v>1055</v>
      </c>
      <c r="S484" s="2">
        <v>54.0</v>
      </c>
      <c r="T484" s="2" t="s">
        <v>65</v>
      </c>
      <c r="U484" s="2" t="s">
        <v>1055</v>
      </c>
      <c r="AI484" s="2" t="str">
        <f t="shared" si="10"/>
        <v/>
      </c>
      <c r="AJ484" s="2" t="s">
        <v>49</v>
      </c>
      <c r="AK484" s="2" t="s">
        <v>50</v>
      </c>
    </row>
    <row r="485" ht="15.75" customHeight="1">
      <c r="A485" s="2" t="s">
        <v>39</v>
      </c>
      <c r="B485" s="3" t="str">
        <f>HYPERLINK("https://www.senado.gob.ar/parlamentario/comisiones/verExp/551.25/S/PR","551")</f>
        <v>551</v>
      </c>
      <c r="C485" s="3" t="str">
        <f>HYPERLINK("https://www.senado.gob.ar/parlamentario/comisiones/verExp/551.25/S/PR","2025")</f>
        <v>2025</v>
      </c>
      <c r="D485" s="2" t="s">
        <v>145</v>
      </c>
      <c r="E485" s="2" t="s">
        <v>1058</v>
      </c>
      <c r="F485" s="2" t="s">
        <v>1052</v>
      </c>
      <c r="I485" s="2" t="s">
        <v>1053</v>
      </c>
      <c r="K485" s="2" t="s">
        <v>44</v>
      </c>
      <c r="L485" s="2" t="s">
        <v>1040</v>
      </c>
      <c r="N485" s="2" t="s">
        <v>1059</v>
      </c>
      <c r="O485" s="2">
        <v>50.0</v>
      </c>
      <c r="P485" s="2" t="s">
        <v>47</v>
      </c>
      <c r="Q485" s="2" t="s">
        <v>1055</v>
      </c>
      <c r="S485" s="2">
        <v>56.0</v>
      </c>
      <c r="T485" s="2" t="s">
        <v>262</v>
      </c>
      <c r="U485" s="2" t="s">
        <v>1055</v>
      </c>
      <c r="AI485" s="2" t="str">
        <f t="shared" si="10"/>
        <v/>
      </c>
      <c r="AJ485" s="2" t="s">
        <v>49</v>
      </c>
      <c r="AK485" s="2" t="s">
        <v>50</v>
      </c>
    </row>
    <row r="486" ht="15.75" customHeight="1">
      <c r="A486" s="2" t="s">
        <v>39</v>
      </c>
      <c r="B486" s="3" t="str">
        <f>HYPERLINK("https://www.senado.gob.ar/parlamentario/comisiones/verExp/550.25/S/PL","550")</f>
        <v>550</v>
      </c>
      <c r="C486" s="3" t="str">
        <f>HYPERLINK("https://www.senado.gob.ar/parlamentario/comisiones/verExp/550.25/S/PL","2025")</f>
        <v>2025</v>
      </c>
      <c r="D486" s="2" t="s">
        <v>56</v>
      </c>
      <c r="E486" s="2" t="s">
        <v>1060</v>
      </c>
      <c r="F486" s="2" t="s">
        <v>1052</v>
      </c>
      <c r="I486" s="2" t="s">
        <v>1053</v>
      </c>
      <c r="K486" s="2" t="s">
        <v>44</v>
      </c>
      <c r="L486" s="2" t="s">
        <v>1040</v>
      </c>
      <c r="N486" s="2" t="s">
        <v>1061</v>
      </c>
      <c r="O486" s="2">
        <v>54.0</v>
      </c>
      <c r="P486" s="2" t="s">
        <v>65</v>
      </c>
      <c r="Q486" s="2" t="s">
        <v>1055</v>
      </c>
      <c r="AI486" s="2" t="str">
        <f t="shared" si="10"/>
        <v/>
      </c>
      <c r="AJ486" s="2" t="s">
        <v>49</v>
      </c>
      <c r="AK486" s="2" t="s">
        <v>50</v>
      </c>
    </row>
    <row r="487" ht="15.75" customHeight="1">
      <c r="A487" s="2" t="s">
        <v>39</v>
      </c>
      <c r="B487" s="3" t="str">
        <f>HYPERLINK("https://www.senado.gob.ar/parlamentario/comisiones/verExp/544.25/S/PL","544")</f>
        <v>544</v>
      </c>
      <c r="C487" s="3" t="str">
        <f>HYPERLINK("https://www.senado.gob.ar/parlamentario/comisiones/verExp/544.25/S/PL","2025")</f>
        <v>2025</v>
      </c>
      <c r="D487" s="2" t="s">
        <v>56</v>
      </c>
      <c r="E487" s="2" t="s">
        <v>1062</v>
      </c>
      <c r="F487" s="2" t="s">
        <v>1052</v>
      </c>
      <c r="I487" s="2" t="s">
        <v>1063</v>
      </c>
      <c r="K487" s="2" t="s">
        <v>44</v>
      </c>
      <c r="L487" s="2" t="s">
        <v>1040</v>
      </c>
      <c r="N487" s="2" t="s">
        <v>532</v>
      </c>
      <c r="O487" s="2">
        <v>72.0</v>
      </c>
      <c r="P487" s="2" t="s">
        <v>243</v>
      </c>
      <c r="Q487" s="2" t="s">
        <v>1055</v>
      </c>
      <c r="S487" s="2">
        <v>54.0</v>
      </c>
      <c r="T487" s="2" t="s">
        <v>65</v>
      </c>
      <c r="U487" s="2" t="s">
        <v>1055</v>
      </c>
      <c r="AI487" s="2" t="str">
        <f t="shared" si="10"/>
        <v/>
      </c>
      <c r="AJ487" s="2" t="s">
        <v>49</v>
      </c>
      <c r="AK487" s="2" t="s">
        <v>50</v>
      </c>
    </row>
    <row r="488" ht="15.75" customHeight="1">
      <c r="A488" s="2" t="s">
        <v>39</v>
      </c>
      <c r="B488" s="3" t="str">
        <f>HYPERLINK("https://www.senado.gob.ar/parlamentario/comisiones/verExp/543.25/S/PL","543")</f>
        <v>543</v>
      </c>
      <c r="C488" s="3" t="str">
        <f>HYPERLINK("https://www.senado.gob.ar/parlamentario/comisiones/verExp/543.25/S/PL","2025")</f>
        <v>2025</v>
      </c>
      <c r="D488" s="2" t="s">
        <v>56</v>
      </c>
      <c r="E488" s="2" t="s">
        <v>1064</v>
      </c>
      <c r="F488" s="2" t="s">
        <v>1052</v>
      </c>
      <c r="I488" s="2" t="s">
        <v>1063</v>
      </c>
      <c r="K488" s="2" t="s">
        <v>44</v>
      </c>
      <c r="L488" s="2" t="s">
        <v>1040</v>
      </c>
      <c r="N488" s="2" t="s">
        <v>778</v>
      </c>
      <c r="O488" s="2">
        <v>68.0</v>
      </c>
      <c r="P488" s="2" t="s">
        <v>180</v>
      </c>
      <c r="Q488" s="2" t="s">
        <v>1055</v>
      </c>
      <c r="S488" s="2">
        <v>58.0</v>
      </c>
      <c r="T488" s="2" t="s">
        <v>194</v>
      </c>
      <c r="U488" s="2" t="s">
        <v>1055</v>
      </c>
      <c r="AI488" s="2" t="str">
        <f t="shared" si="10"/>
        <v/>
      </c>
      <c r="AJ488" s="2" t="s">
        <v>49</v>
      </c>
      <c r="AK488" s="2" t="s">
        <v>50</v>
      </c>
    </row>
    <row r="489" ht="15.75" customHeight="1">
      <c r="A489" s="2" t="s">
        <v>39</v>
      </c>
      <c r="B489" s="3" t="str">
        <f>HYPERLINK("https://www.senado.gob.ar/parlamentario/comisiones/verExp/542.25/S/PL","542")</f>
        <v>542</v>
      </c>
      <c r="C489" s="3" t="str">
        <f>HYPERLINK("https://www.senado.gob.ar/parlamentario/comisiones/verExp/542.25/S/PL","2025")</f>
        <v>2025</v>
      </c>
      <c r="D489" s="2" t="s">
        <v>56</v>
      </c>
      <c r="E489" s="2" t="s">
        <v>1065</v>
      </c>
      <c r="F489" s="2" t="s">
        <v>1052</v>
      </c>
      <c r="I489" s="2" t="s">
        <v>1063</v>
      </c>
      <c r="K489" s="2" t="s">
        <v>44</v>
      </c>
      <c r="L489" s="2" t="s">
        <v>1040</v>
      </c>
      <c r="N489" s="2" t="s">
        <v>778</v>
      </c>
      <c r="O489" s="2">
        <v>72.0</v>
      </c>
      <c r="P489" s="2" t="s">
        <v>243</v>
      </c>
      <c r="Q489" s="2" t="s">
        <v>1055</v>
      </c>
      <c r="S489" s="2">
        <v>54.0</v>
      </c>
      <c r="T489" s="2" t="s">
        <v>65</v>
      </c>
      <c r="U489" s="2" t="s">
        <v>1055</v>
      </c>
      <c r="AI489" s="2" t="str">
        <f t="shared" si="10"/>
        <v/>
      </c>
      <c r="AJ489" s="2" t="s">
        <v>49</v>
      </c>
      <c r="AK489" s="2" t="s">
        <v>50</v>
      </c>
    </row>
    <row r="490" ht="15.75" customHeight="1">
      <c r="A490" s="2" t="s">
        <v>39</v>
      </c>
      <c r="B490" s="3" t="str">
        <f>HYPERLINK("https://www.senado.gob.ar/parlamentario/comisiones/verExp/538.25/S/PR","538")</f>
        <v>538</v>
      </c>
      <c r="C490" s="3" t="str">
        <f>HYPERLINK("https://www.senado.gob.ar/parlamentario/comisiones/verExp/538.25/S/PR","2025")</f>
        <v>2025</v>
      </c>
      <c r="D490" s="2" t="s">
        <v>145</v>
      </c>
      <c r="E490" s="2" t="s">
        <v>1066</v>
      </c>
      <c r="F490" s="2" t="s">
        <v>1067</v>
      </c>
      <c r="I490" s="2" t="s">
        <v>1063</v>
      </c>
      <c r="K490" s="2" t="s">
        <v>44</v>
      </c>
      <c r="L490" s="2" t="s">
        <v>1040</v>
      </c>
      <c r="N490" s="2" t="s">
        <v>1068</v>
      </c>
      <c r="O490" s="2">
        <v>75.0</v>
      </c>
      <c r="P490" s="2" t="s">
        <v>71</v>
      </c>
      <c r="Q490" s="2" t="s">
        <v>1055</v>
      </c>
      <c r="AI490" s="2" t="str">
        <f t="shared" si="10"/>
        <v/>
      </c>
      <c r="AJ490" s="2" t="s">
        <v>49</v>
      </c>
      <c r="AK490" s="2" t="s">
        <v>50</v>
      </c>
    </row>
    <row r="491" ht="15.75" customHeight="1">
      <c r="A491" s="2" t="s">
        <v>39</v>
      </c>
      <c r="B491" s="3" t="str">
        <f>HYPERLINK("https://www.senado.gob.ar/parlamentario/comisiones/verExp/533.25/S/PL","533")</f>
        <v>533</v>
      </c>
      <c r="C491" s="3" t="str">
        <f>HYPERLINK("https://www.senado.gob.ar/parlamentario/comisiones/verExp/533.25/S/PL","2025")</f>
        <v>2025</v>
      </c>
      <c r="D491" s="2" t="s">
        <v>56</v>
      </c>
      <c r="E491" s="2" t="s">
        <v>1069</v>
      </c>
      <c r="F491" s="2" t="s">
        <v>1067</v>
      </c>
      <c r="I491" s="2" t="s">
        <v>1070</v>
      </c>
      <c r="K491" s="2" t="s">
        <v>44</v>
      </c>
      <c r="L491" s="2" t="s">
        <v>1040</v>
      </c>
      <c r="N491" s="2" t="s">
        <v>1071</v>
      </c>
      <c r="O491" s="2">
        <v>64.0</v>
      </c>
      <c r="P491" s="2" t="s">
        <v>186</v>
      </c>
      <c r="Q491" s="2" t="s">
        <v>1055</v>
      </c>
      <c r="S491" s="2">
        <v>78.0</v>
      </c>
      <c r="T491" s="2" t="s">
        <v>73</v>
      </c>
      <c r="U491" s="2" t="s">
        <v>1055</v>
      </c>
      <c r="AI491" s="2" t="str">
        <f t="shared" si="10"/>
        <v/>
      </c>
      <c r="AJ491" s="2" t="s">
        <v>49</v>
      </c>
      <c r="AK491" s="2" t="s">
        <v>50</v>
      </c>
    </row>
    <row r="492" ht="15.75" customHeight="1">
      <c r="A492" s="2" t="s">
        <v>39</v>
      </c>
      <c r="B492" s="3" t="str">
        <f>HYPERLINK("https://www.senado.gob.ar/parlamentario/comisiones/verExp/530.25/S/PL","530")</f>
        <v>530</v>
      </c>
      <c r="C492" s="3" t="str">
        <f>HYPERLINK("https://www.senado.gob.ar/parlamentario/comisiones/verExp/530.25/S/PL","2025")</f>
        <v>2025</v>
      </c>
      <c r="D492" s="2" t="s">
        <v>56</v>
      </c>
      <c r="E492" s="2" t="s">
        <v>1072</v>
      </c>
      <c r="F492" s="2" t="s">
        <v>1067</v>
      </c>
      <c r="I492" s="2" t="s">
        <v>1073</v>
      </c>
      <c r="K492" s="2" t="s">
        <v>44</v>
      </c>
      <c r="L492" s="2" t="s">
        <v>1040</v>
      </c>
      <c r="N492" s="2" t="s">
        <v>377</v>
      </c>
      <c r="O492" s="2">
        <v>78.0</v>
      </c>
      <c r="P492" s="2" t="s">
        <v>73</v>
      </c>
      <c r="Q492" s="2" t="s">
        <v>1055</v>
      </c>
      <c r="S492" s="2">
        <v>68.0</v>
      </c>
      <c r="T492" s="2" t="s">
        <v>180</v>
      </c>
      <c r="U492" s="2" t="s">
        <v>1055</v>
      </c>
      <c r="W492" s="2">
        <v>75.0</v>
      </c>
      <c r="X492" s="2" t="s">
        <v>71</v>
      </c>
      <c r="Y492" s="2" t="s">
        <v>1055</v>
      </c>
      <c r="AI492" s="2" t="str">
        <f t="shared" si="10"/>
        <v/>
      </c>
      <c r="AJ492" s="2" t="s">
        <v>49</v>
      </c>
      <c r="AK492" s="2" t="s">
        <v>50</v>
      </c>
    </row>
    <row r="493" ht="15.75" customHeight="1">
      <c r="A493" s="2" t="s">
        <v>39</v>
      </c>
      <c r="B493" s="3" t="str">
        <f>HYPERLINK("https://www.senado.gob.ar/parlamentario/comisiones/verExp/528.25/S/PL","528")</f>
        <v>528</v>
      </c>
      <c r="C493" s="3" t="str">
        <f>HYPERLINK("https://www.senado.gob.ar/parlamentario/comisiones/verExp/528.25/S/PL","2025")</f>
        <v>2025</v>
      </c>
      <c r="D493" s="2" t="s">
        <v>56</v>
      </c>
      <c r="E493" s="2" t="s">
        <v>1074</v>
      </c>
      <c r="F493" s="2" t="s">
        <v>1067</v>
      </c>
      <c r="I493" s="2" t="s">
        <v>1073</v>
      </c>
      <c r="K493" s="2" t="s">
        <v>44</v>
      </c>
      <c r="L493" s="2" t="s">
        <v>1040</v>
      </c>
      <c r="N493" s="2" t="s">
        <v>1075</v>
      </c>
      <c r="O493" s="2">
        <v>53.0</v>
      </c>
      <c r="P493" s="2" t="s">
        <v>76</v>
      </c>
      <c r="Q493" s="2" t="s">
        <v>1055</v>
      </c>
      <c r="S493" s="2">
        <v>70.0</v>
      </c>
      <c r="T493" s="2" t="s">
        <v>166</v>
      </c>
      <c r="U493" s="2" t="s">
        <v>1055</v>
      </c>
      <c r="AI493" s="2" t="str">
        <f t="shared" si="10"/>
        <v/>
      </c>
      <c r="AJ493" s="2" t="s">
        <v>49</v>
      </c>
      <c r="AK493" s="2" t="s">
        <v>50</v>
      </c>
    </row>
    <row r="494" ht="15.75" customHeight="1">
      <c r="A494" s="2" t="s">
        <v>39</v>
      </c>
      <c r="B494" s="3" t="str">
        <f>HYPERLINK("https://www.senado.gob.ar/parlamentario/comisiones/verExp/525.25/S/PL","525")</f>
        <v>525</v>
      </c>
      <c r="C494" s="3" t="str">
        <f>HYPERLINK("https://www.senado.gob.ar/parlamentario/comisiones/verExp/525.25/S/PL","2025")</f>
        <v>2025</v>
      </c>
      <c r="D494" s="2" t="s">
        <v>56</v>
      </c>
      <c r="E494" s="2" t="s">
        <v>1076</v>
      </c>
      <c r="F494" s="2" t="s">
        <v>1067</v>
      </c>
      <c r="I494" s="2" t="s">
        <v>1073</v>
      </c>
      <c r="K494" s="2" t="s">
        <v>44</v>
      </c>
      <c r="L494" s="2" t="s">
        <v>1040</v>
      </c>
      <c r="N494" s="2" t="s">
        <v>1075</v>
      </c>
      <c r="O494" s="2">
        <v>75.0</v>
      </c>
      <c r="P494" s="2" t="s">
        <v>71</v>
      </c>
      <c r="Q494" s="2" t="s">
        <v>1055</v>
      </c>
      <c r="S494" s="2">
        <v>78.0</v>
      </c>
      <c r="T494" s="2" t="s">
        <v>73</v>
      </c>
      <c r="U494" s="2" t="s">
        <v>1055</v>
      </c>
      <c r="AI494" s="2" t="str">
        <f t="shared" si="10"/>
        <v/>
      </c>
      <c r="AJ494" s="2" t="s">
        <v>49</v>
      </c>
      <c r="AK494" s="2" t="s">
        <v>50</v>
      </c>
    </row>
    <row r="495" ht="15.75" customHeight="1">
      <c r="A495" s="2" t="s">
        <v>39</v>
      </c>
      <c r="B495" s="3" t="str">
        <f>HYPERLINK("https://www.senado.gob.ar/parlamentario/comisiones/verExp/517.25/S/PL","517")</f>
        <v>517</v>
      </c>
      <c r="C495" s="3" t="str">
        <f>HYPERLINK("https://www.senado.gob.ar/parlamentario/comisiones/verExp/517.25/S/PL","2025")</f>
        <v>2025</v>
      </c>
      <c r="D495" s="2" t="s">
        <v>56</v>
      </c>
      <c r="E495" s="2" t="s">
        <v>1077</v>
      </c>
      <c r="F495" s="2" t="s">
        <v>1078</v>
      </c>
      <c r="I495" s="2" t="s">
        <v>1079</v>
      </c>
      <c r="K495" s="2" t="s">
        <v>44</v>
      </c>
      <c r="L495" s="2" t="s">
        <v>1040</v>
      </c>
      <c r="N495" s="2" t="s">
        <v>204</v>
      </c>
      <c r="O495" s="2">
        <v>70.0</v>
      </c>
      <c r="P495" s="2" t="s">
        <v>166</v>
      </c>
      <c r="Q495" s="2" t="s">
        <v>1055</v>
      </c>
      <c r="S495" s="2">
        <v>75.0</v>
      </c>
      <c r="T495" s="2" t="s">
        <v>71</v>
      </c>
      <c r="U495" s="2" t="s">
        <v>1055</v>
      </c>
      <c r="AI495" s="2" t="str">
        <f t="shared" si="10"/>
        <v/>
      </c>
      <c r="AJ495" s="2" t="s">
        <v>49</v>
      </c>
      <c r="AK495" s="2" t="s">
        <v>50</v>
      </c>
    </row>
    <row r="496" ht="15.75" customHeight="1">
      <c r="A496" s="2" t="s">
        <v>39</v>
      </c>
      <c r="B496" s="3" t="str">
        <f>HYPERLINK("https://www.senado.gob.ar/parlamentario/comisiones/verExp/515.25/S/PL","515")</f>
        <v>515</v>
      </c>
      <c r="C496" s="3" t="str">
        <f>HYPERLINK("https://www.senado.gob.ar/parlamentario/comisiones/verExp/515.25/S/PL","2025")</f>
        <v>2025</v>
      </c>
      <c r="D496" s="2" t="s">
        <v>56</v>
      </c>
      <c r="E496" s="2" t="s">
        <v>1080</v>
      </c>
      <c r="F496" s="2" t="s">
        <v>1078</v>
      </c>
      <c r="I496" s="2" t="s">
        <v>1081</v>
      </c>
      <c r="K496" s="2" t="s">
        <v>44</v>
      </c>
      <c r="L496" s="2" t="s">
        <v>1040</v>
      </c>
      <c r="N496" s="2" t="s">
        <v>980</v>
      </c>
      <c r="O496" s="2">
        <v>53.0</v>
      </c>
      <c r="P496" s="2" t="s">
        <v>76</v>
      </c>
      <c r="Q496" s="2" t="s">
        <v>1055</v>
      </c>
      <c r="S496" s="2">
        <v>78.0</v>
      </c>
      <c r="T496" s="2" t="s">
        <v>73</v>
      </c>
      <c r="U496" s="2" t="s">
        <v>1055</v>
      </c>
      <c r="W496" s="2">
        <v>54.0</v>
      </c>
      <c r="X496" s="2" t="s">
        <v>65</v>
      </c>
      <c r="Y496" s="2" t="s">
        <v>1055</v>
      </c>
      <c r="AI496" s="2" t="str">
        <f t="shared" si="10"/>
        <v/>
      </c>
      <c r="AJ496" s="2" t="s">
        <v>49</v>
      </c>
      <c r="AK496" s="2" t="s">
        <v>50</v>
      </c>
    </row>
    <row r="497" ht="15.75" customHeight="1">
      <c r="A497" s="2" t="s">
        <v>39</v>
      </c>
      <c r="B497" s="3" t="str">
        <f>HYPERLINK("https://www.senado.gob.ar/parlamentario/comisiones/verExp/511.25/S/PL","511")</f>
        <v>511</v>
      </c>
      <c r="C497" s="3" t="str">
        <f>HYPERLINK("https://www.senado.gob.ar/parlamentario/comisiones/verExp/511.25/S/PL","2025")</f>
        <v>2025</v>
      </c>
      <c r="D497" s="2" t="s">
        <v>56</v>
      </c>
      <c r="E497" s="2" t="s">
        <v>1082</v>
      </c>
      <c r="F497" s="2" t="s">
        <v>1078</v>
      </c>
      <c r="I497" s="2" t="s">
        <v>1081</v>
      </c>
      <c r="K497" s="2" t="s">
        <v>44</v>
      </c>
      <c r="L497" s="2" t="s">
        <v>1040</v>
      </c>
      <c r="N497" s="2" t="s">
        <v>1083</v>
      </c>
      <c r="O497" s="2">
        <v>53.0</v>
      </c>
      <c r="P497" s="2" t="s">
        <v>76</v>
      </c>
      <c r="Q497" s="2" t="s">
        <v>1055</v>
      </c>
      <c r="S497" s="2">
        <v>74.0</v>
      </c>
      <c r="T497" s="2" t="s">
        <v>256</v>
      </c>
      <c r="U497" s="2" t="s">
        <v>1055</v>
      </c>
      <c r="W497" s="2">
        <v>54.0</v>
      </c>
      <c r="X497" s="2" t="s">
        <v>65</v>
      </c>
      <c r="Y497" s="2" t="s">
        <v>1055</v>
      </c>
      <c r="AI497" s="2" t="str">
        <f t="shared" si="10"/>
        <v/>
      </c>
      <c r="AJ497" s="2" t="s">
        <v>49</v>
      </c>
      <c r="AK497" s="2" t="s">
        <v>50</v>
      </c>
    </row>
    <row r="498" ht="15.75" customHeight="1">
      <c r="A498" s="2" t="s">
        <v>39</v>
      </c>
      <c r="B498" s="3" t="str">
        <f>HYPERLINK("https://www.senado.gob.ar/parlamentario/comisiones/verExp/491.25/S/PR","491")</f>
        <v>491</v>
      </c>
      <c r="C498" s="3" t="str">
        <f>HYPERLINK("https://www.senado.gob.ar/parlamentario/comisiones/verExp/491.25/S/PR","2025")</f>
        <v>2025</v>
      </c>
      <c r="D498" s="2" t="s">
        <v>145</v>
      </c>
      <c r="E498" s="2" t="s">
        <v>1084</v>
      </c>
      <c r="F498" s="2" t="s">
        <v>1085</v>
      </c>
      <c r="I498" s="2" t="s">
        <v>1086</v>
      </c>
      <c r="K498" s="2" t="s">
        <v>44</v>
      </c>
      <c r="L498" s="2" t="s">
        <v>1040</v>
      </c>
      <c r="N498" s="2" t="s">
        <v>1087</v>
      </c>
      <c r="O498" s="2">
        <v>51.0</v>
      </c>
      <c r="P498" s="2" t="s">
        <v>62</v>
      </c>
      <c r="Q498" s="2" t="s">
        <v>1055</v>
      </c>
      <c r="AI498" s="2" t="str">
        <f t="shared" si="10"/>
        <v/>
      </c>
      <c r="AJ498" s="2" t="s">
        <v>49</v>
      </c>
      <c r="AK498" s="2" t="s">
        <v>50</v>
      </c>
    </row>
    <row r="499" ht="15.75" customHeight="1">
      <c r="A499" s="2" t="s">
        <v>39</v>
      </c>
      <c r="B499" s="3" t="str">
        <f>HYPERLINK("https://www.senado.gob.ar/parlamentario/comisiones/verExp/488.25/S/PL","488")</f>
        <v>488</v>
      </c>
      <c r="C499" s="3" t="str">
        <f>HYPERLINK("https://www.senado.gob.ar/parlamentario/comisiones/verExp/488.25/S/PL","2025")</f>
        <v>2025</v>
      </c>
      <c r="D499" s="2" t="s">
        <v>56</v>
      </c>
      <c r="E499" s="2" t="s">
        <v>1088</v>
      </c>
      <c r="F499" s="2" t="s">
        <v>1085</v>
      </c>
      <c r="I499" s="2" t="s">
        <v>1089</v>
      </c>
      <c r="K499" s="2" t="s">
        <v>44</v>
      </c>
      <c r="L499" s="2" t="s">
        <v>1040</v>
      </c>
      <c r="N499" s="2" t="s">
        <v>1090</v>
      </c>
      <c r="O499" s="2">
        <v>54.0</v>
      </c>
      <c r="P499" s="2" t="s">
        <v>65</v>
      </c>
      <c r="Q499" s="2" t="s">
        <v>1055</v>
      </c>
      <c r="S499" s="2">
        <v>75.0</v>
      </c>
      <c r="T499" s="2" t="s">
        <v>71</v>
      </c>
      <c r="U499" s="2" t="s">
        <v>1055</v>
      </c>
      <c r="AI499" s="2" t="str">
        <f t="shared" si="10"/>
        <v/>
      </c>
      <c r="AJ499" s="2" t="s">
        <v>49</v>
      </c>
      <c r="AK499" s="2" t="s">
        <v>50</v>
      </c>
    </row>
    <row r="500" ht="15.75" customHeight="1">
      <c r="A500" s="2" t="s">
        <v>39</v>
      </c>
      <c r="B500" s="3" t="str">
        <f>HYPERLINK("https://www.senado.gob.ar/parlamentario/comisiones/verExp/485.25/S/PL","485")</f>
        <v>485</v>
      </c>
      <c r="C500" s="3" t="str">
        <f>HYPERLINK("https://www.senado.gob.ar/parlamentario/comisiones/verExp/485.25/S/PL","2025")</f>
        <v>2025</v>
      </c>
      <c r="D500" s="2" t="s">
        <v>56</v>
      </c>
      <c r="E500" s="2" t="s">
        <v>1091</v>
      </c>
      <c r="F500" s="2" t="s">
        <v>1085</v>
      </c>
      <c r="I500" s="2" t="s">
        <v>1089</v>
      </c>
      <c r="K500" s="2" t="s">
        <v>44</v>
      </c>
      <c r="L500" s="2" t="s">
        <v>1040</v>
      </c>
      <c r="N500" s="2" t="s">
        <v>1092</v>
      </c>
      <c r="O500" s="2">
        <v>54.0</v>
      </c>
      <c r="P500" s="2" t="s">
        <v>65</v>
      </c>
      <c r="Q500" s="2" t="s">
        <v>1055</v>
      </c>
      <c r="S500" s="2">
        <v>74.0</v>
      </c>
      <c r="T500" s="2" t="s">
        <v>256</v>
      </c>
      <c r="U500" s="2" t="s">
        <v>1055</v>
      </c>
      <c r="W500" s="2">
        <v>50.0</v>
      </c>
      <c r="X500" s="2" t="s">
        <v>47</v>
      </c>
      <c r="Y500" s="2" t="s">
        <v>1055</v>
      </c>
      <c r="AI500" s="2" t="str">
        <f t="shared" si="10"/>
        <v/>
      </c>
      <c r="AJ500" s="2" t="s">
        <v>49</v>
      </c>
      <c r="AK500" s="2" t="s">
        <v>50</v>
      </c>
    </row>
    <row r="501" ht="15.75" customHeight="1">
      <c r="A501" s="2" t="s">
        <v>39</v>
      </c>
      <c r="B501" s="3" t="str">
        <f>HYPERLINK("https://www.senado.gob.ar/parlamentario/comisiones/verExp/484.25/S/PL","484")</f>
        <v>484</v>
      </c>
      <c r="C501" s="3" t="str">
        <f>HYPERLINK("https://www.senado.gob.ar/parlamentario/comisiones/verExp/484.25/S/PL","2025")</f>
        <v>2025</v>
      </c>
      <c r="D501" s="2" t="s">
        <v>56</v>
      </c>
      <c r="E501" s="2" t="s">
        <v>1093</v>
      </c>
      <c r="F501" s="2" t="s">
        <v>1085</v>
      </c>
      <c r="I501" s="2" t="s">
        <v>1089</v>
      </c>
      <c r="K501" s="2" t="s">
        <v>44</v>
      </c>
      <c r="L501" s="2" t="s">
        <v>1040</v>
      </c>
      <c r="N501" s="2" t="s">
        <v>1094</v>
      </c>
      <c r="O501" s="2">
        <v>75.0</v>
      </c>
      <c r="P501" s="2" t="s">
        <v>71</v>
      </c>
      <c r="Q501" s="2" t="s">
        <v>1055</v>
      </c>
      <c r="S501" s="2">
        <v>68.0</v>
      </c>
      <c r="T501" s="2" t="s">
        <v>180</v>
      </c>
      <c r="U501" s="2" t="s">
        <v>1055</v>
      </c>
      <c r="W501" s="2">
        <v>54.0</v>
      </c>
      <c r="X501" s="2" t="s">
        <v>65</v>
      </c>
      <c r="Y501" s="2" t="s">
        <v>1055</v>
      </c>
      <c r="AI501" s="2" t="str">
        <f t="shared" si="10"/>
        <v/>
      </c>
      <c r="AJ501" s="2" t="s">
        <v>49</v>
      </c>
      <c r="AK501" s="2" t="s">
        <v>50</v>
      </c>
    </row>
    <row r="502" ht="15.75" customHeight="1">
      <c r="A502" s="2" t="s">
        <v>39</v>
      </c>
      <c r="B502" s="3" t="str">
        <f>HYPERLINK("https://www.senado.gob.ar/parlamentario/comisiones/verExp/483.25/S/PL","483")</f>
        <v>483</v>
      </c>
      <c r="C502" s="3" t="str">
        <f>HYPERLINK("https://www.senado.gob.ar/parlamentario/comisiones/verExp/483.25/S/PL","2025")</f>
        <v>2025</v>
      </c>
      <c r="D502" s="2" t="s">
        <v>56</v>
      </c>
      <c r="E502" s="2" t="s">
        <v>1095</v>
      </c>
      <c r="F502" s="2" t="s">
        <v>1085</v>
      </c>
      <c r="I502" s="2" t="s">
        <v>1089</v>
      </c>
      <c r="K502" s="2" t="s">
        <v>44</v>
      </c>
      <c r="L502" s="2" t="s">
        <v>1040</v>
      </c>
      <c r="N502" s="2" t="s">
        <v>1096</v>
      </c>
      <c r="O502" s="2">
        <v>75.0</v>
      </c>
      <c r="P502" s="2" t="s">
        <v>71</v>
      </c>
      <c r="Q502" s="2" t="s">
        <v>1055</v>
      </c>
      <c r="AI502" s="2" t="str">
        <f t="shared" si="10"/>
        <v/>
      </c>
      <c r="AJ502" s="2" t="s">
        <v>49</v>
      </c>
      <c r="AK502" s="2" t="s">
        <v>50</v>
      </c>
    </row>
    <row r="503" ht="15.75" customHeight="1">
      <c r="A503" s="2" t="s">
        <v>39</v>
      </c>
      <c r="B503" s="3" t="str">
        <f>HYPERLINK("https://www.senado.gob.ar/parlamentario/comisiones/verExp/477.25/S/PL","477")</f>
        <v>477</v>
      </c>
      <c r="C503" s="3" t="str">
        <f>HYPERLINK("https://www.senado.gob.ar/parlamentario/comisiones/verExp/477.25/S/PL","2025")</f>
        <v>2025</v>
      </c>
      <c r="D503" s="2" t="s">
        <v>56</v>
      </c>
      <c r="E503" s="2" t="s">
        <v>1097</v>
      </c>
      <c r="F503" s="2" t="s">
        <v>1098</v>
      </c>
      <c r="I503" s="2" t="s">
        <v>1099</v>
      </c>
      <c r="K503" s="2" t="s">
        <v>44</v>
      </c>
      <c r="L503" s="2" t="s">
        <v>1040</v>
      </c>
      <c r="N503" s="2" t="s">
        <v>1100</v>
      </c>
      <c r="O503" s="2">
        <v>65.0</v>
      </c>
      <c r="P503" s="2" t="s">
        <v>153</v>
      </c>
      <c r="Q503" s="2" t="s">
        <v>1101</v>
      </c>
      <c r="S503" s="2">
        <v>54.0</v>
      </c>
      <c r="T503" s="2" t="s">
        <v>65</v>
      </c>
      <c r="U503" s="2" t="s">
        <v>1055</v>
      </c>
      <c r="AI503" s="2" t="str">
        <f t="shared" si="10"/>
        <v/>
      </c>
      <c r="AJ503" s="2" t="s">
        <v>49</v>
      </c>
      <c r="AK503" s="2" t="s">
        <v>50</v>
      </c>
    </row>
    <row r="504" ht="15.75" customHeight="1">
      <c r="A504" s="2" t="s">
        <v>39</v>
      </c>
      <c r="B504" s="3" t="str">
        <f>HYPERLINK("https://www.senado.gob.ar/parlamentario/comisiones/verExp/473.25/S/PL","473")</f>
        <v>473</v>
      </c>
      <c r="C504" s="3" t="str">
        <f>HYPERLINK("https://www.senado.gob.ar/parlamentario/comisiones/verExp/473.25/S/PL","2025")</f>
        <v>2025</v>
      </c>
      <c r="D504" s="2" t="s">
        <v>56</v>
      </c>
      <c r="E504" s="2" t="s">
        <v>1102</v>
      </c>
      <c r="F504" s="2" t="s">
        <v>1098</v>
      </c>
      <c r="I504" s="2" t="s">
        <v>1099</v>
      </c>
      <c r="K504" s="2" t="s">
        <v>44</v>
      </c>
      <c r="L504" s="2" t="s">
        <v>1040</v>
      </c>
      <c r="N504" s="2" t="s">
        <v>204</v>
      </c>
      <c r="O504" s="2">
        <v>62.0</v>
      </c>
      <c r="P504" s="2" t="s">
        <v>205</v>
      </c>
      <c r="Q504" s="2" t="s">
        <v>1055</v>
      </c>
      <c r="S504" s="2">
        <v>54.0</v>
      </c>
      <c r="T504" s="2" t="s">
        <v>65</v>
      </c>
      <c r="U504" s="2" t="s">
        <v>1055</v>
      </c>
      <c r="AI504" s="2" t="str">
        <f t="shared" si="10"/>
        <v/>
      </c>
      <c r="AJ504" s="2" t="s">
        <v>49</v>
      </c>
      <c r="AK504" s="2" t="s">
        <v>50</v>
      </c>
    </row>
    <row r="505" ht="15.75" customHeight="1">
      <c r="A505" s="2" t="s">
        <v>39</v>
      </c>
      <c r="B505" s="3" t="str">
        <f>HYPERLINK("https://www.senado.gob.ar/parlamentario/comisiones/verExp/472.25/S/PL","472")</f>
        <v>472</v>
      </c>
      <c r="C505" s="3" t="str">
        <f>HYPERLINK("https://www.senado.gob.ar/parlamentario/comisiones/verExp/472.25/S/PL","2025")</f>
        <v>2025</v>
      </c>
      <c r="D505" s="2" t="s">
        <v>56</v>
      </c>
      <c r="E505" s="2" t="s">
        <v>1103</v>
      </c>
      <c r="F505" s="2" t="s">
        <v>1098</v>
      </c>
      <c r="I505" s="2" t="s">
        <v>1099</v>
      </c>
      <c r="K505" s="2" t="s">
        <v>44</v>
      </c>
      <c r="L505" s="2" t="s">
        <v>1040</v>
      </c>
      <c r="N505" s="2" t="s">
        <v>204</v>
      </c>
      <c r="O505" s="2">
        <v>65.0</v>
      </c>
      <c r="P505" s="2" t="s">
        <v>153</v>
      </c>
      <c r="Q505" s="2" t="s">
        <v>1101</v>
      </c>
      <c r="AI505" s="2" t="str">
        <f t="shared" si="10"/>
        <v/>
      </c>
      <c r="AJ505" s="2" t="s">
        <v>49</v>
      </c>
      <c r="AK505" s="2" t="s">
        <v>50</v>
      </c>
    </row>
    <row r="506" ht="15.75" customHeight="1">
      <c r="A506" s="2" t="s">
        <v>39</v>
      </c>
      <c r="B506" s="3" t="str">
        <f>HYPERLINK("https://www.senado.gob.ar/parlamentario/comisiones/verExp/471.25/S/PL","471")</f>
        <v>471</v>
      </c>
      <c r="C506" s="3" t="str">
        <f>HYPERLINK("https://www.senado.gob.ar/parlamentario/comisiones/verExp/471.25/S/PL","2025")</f>
        <v>2025</v>
      </c>
      <c r="D506" s="2" t="s">
        <v>56</v>
      </c>
      <c r="E506" s="2" t="s">
        <v>1104</v>
      </c>
      <c r="F506" s="2" t="s">
        <v>1098</v>
      </c>
      <c r="I506" s="2" t="s">
        <v>1099</v>
      </c>
      <c r="K506" s="2" t="s">
        <v>44</v>
      </c>
      <c r="L506" s="2" t="s">
        <v>1040</v>
      </c>
      <c r="N506" s="2" t="s">
        <v>204</v>
      </c>
      <c r="O506" s="2">
        <v>61.0</v>
      </c>
      <c r="P506" s="2" t="s">
        <v>104</v>
      </c>
      <c r="Q506" s="2" t="s">
        <v>1101</v>
      </c>
      <c r="S506" s="2">
        <v>54.0</v>
      </c>
      <c r="T506" s="2" t="s">
        <v>65</v>
      </c>
      <c r="U506" s="2" t="s">
        <v>1055</v>
      </c>
      <c r="AI506" s="2" t="str">
        <f t="shared" si="10"/>
        <v/>
      </c>
      <c r="AJ506" s="2" t="s">
        <v>49</v>
      </c>
      <c r="AK506" s="2" t="s">
        <v>50</v>
      </c>
    </row>
    <row r="507" ht="15.75" customHeight="1">
      <c r="A507" s="2" t="s">
        <v>39</v>
      </c>
      <c r="B507" s="3" t="str">
        <f>HYPERLINK("https://www.senado.gob.ar/parlamentario/comisiones/verExp/470.25/S/PL","470")</f>
        <v>470</v>
      </c>
      <c r="C507" s="3" t="str">
        <f>HYPERLINK("https://www.senado.gob.ar/parlamentario/comisiones/verExp/470.25/S/PL","2025")</f>
        <v>2025</v>
      </c>
      <c r="D507" s="2" t="s">
        <v>56</v>
      </c>
      <c r="E507" s="2" t="s">
        <v>1105</v>
      </c>
      <c r="F507" s="2" t="s">
        <v>1098</v>
      </c>
      <c r="I507" s="2" t="s">
        <v>1099</v>
      </c>
      <c r="K507" s="2" t="s">
        <v>44</v>
      </c>
      <c r="L507" s="2" t="s">
        <v>1040</v>
      </c>
      <c r="N507" s="2" t="s">
        <v>204</v>
      </c>
      <c r="O507" s="2">
        <v>67.0</v>
      </c>
      <c r="P507" s="2" t="s">
        <v>84</v>
      </c>
      <c r="Q507" s="2" t="s">
        <v>1055</v>
      </c>
      <c r="AI507" s="2" t="str">
        <f t="shared" si="10"/>
        <v/>
      </c>
      <c r="AJ507" s="2" t="s">
        <v>49</v>
      </c>
      <c r="AK507" s="2" t="s">
        <v>50</v>
      </c>
    </row>
    <row r="508" ht="15.75" customHeight="1">
      <c r="A508" s="2" t="s">
        <v>39</v>
      </c>
      <c r="B508" s="3" t="str">
        <f>HYPERLINK("https://www.senado.gob.ar/parlamentario/comisiones/verExp/469.25/S/PL","469")</f>
        <v>469</v>
      </c>
      <c r="C508" s="3" t="str">
        <f>HYPERLINK("https://www.senado.gob.ar/parlamentario/comisiones/verExp/469.25/S/PL","2025")</f>
        <v>2025</v>
      </c>
      <c r="D508" s="2" t="s">
        <v>56</v>
      </c>
      <c r="E508" s="2" t="s">
        <v>1106</v>
      </c>
      <c r="F508" s="2" t="s">
        <v>1098</v>
      </c>
      <c r="I508" s="2" t="s">
        <v>1099</v>
      </c>
      <c r="K508" s="2" t="s">
        <v>44</v>
      </c>
      <c r="L508" s="2" t="s">
        <v>1040</v>
      </c>
      <c r="N508" s="2" t="s">
        <v>204</v>
      </c>
      <c r="O508" s="2">
        <v>78.0</v>
      </c>
      <c r="P508" s="2" t="s">
        <v>73</v>
      </c>
      <c r="Q508" s="2" t="s">
        <v>1055</v>
      </c>
      <c r="S508" s="2">
        <v>54.0</v>
      </c>
      <c r="T508" s="2" t="s">
        <v>65</v>
      </c>
      <c r="U508" s="2" t="s">
        <v>1055</v>
      </c>
      <c r="AI508" s="2" t="str">
        <f t="shared" si="10"/>
        <v/>
      </c>
      <c r="AJ508" s="2" t="s">
        <v>49</v>
      </c>
      <c r="AK508" s="2" t="s">
        <v>50</v>
      </c>
    </row>
    <row r="509" ht="15.75" customHeight="1">
      <c r="A509" s="2" t="s">
        <v>39</v>
      </c>
      <c r="B509" s="3" t="str">
        <f>HYPERLINK("https://www.senado.gob.ar/parlamentario/comisiones/verExp/466.25/S/PR","466")</f>
        <v>466</v>
      </c>
      <c r="C509" s="3" t="str">
        <f>HYPERLINK("https://www.senado.gob.ar/parlamentario/comisiones/verExp/466.25/S/PR","2025")</f>
        <v>2025</v>
      </c>
      <c r="D509" s="2" t="s">
        <v>145</v>
      </c>
      <c r="E509" s="2" t="s">
        <v>1107</v>
      </c>
      <c r="F509" s="2" t="s">
        <v>1098</v>
      </c>
      <c r="I509" s="2" t="s">
        <v>1099</v>
      </c>
      <c r="K509" s="2" t="s">
        <v>44</v>
      </c>
      <c r="L509" s="2" t="s">
        <v>1040</v>
      </c>
      <c r="N509" s="2" t="s">
        <v>1108</v>
      </c>
      <c r="O509" s="2">
        <v>50.0</v>
      </c>
      <c r="P509" s="2" t="s">
        <v>47</v>
      </c>
      <c r="Q509" s="2" t="s">
        <v>1055</v>
      </c>
      <c r="S509" s="2">
        <v>57.0</v>
      </c>
      <c r="T509" s="2" t="s">
        <v>123</v>
      </c>
      <c r="U509" s="2" t="s">
        <v>1055</v>
      </c>
      <c r="AI509" s="2" t="str">
        <f t="shared" si="10"/>
        <v/>
      </c>
      <c r="AJ509" s="2" t="s">
        <v>49</v>
      </c>
      <c r="AK509" s="2" t="s">
        <v>50</v>
      </c>
    </row>
    <row r="510" ht="15.75" customHeight="1">
      <c r="A510" s="2" t="s">
        <v>39</v>
      </c>
      <c r="B510" s="3" t="str">
        <f>HYPERLINK("https://www.senado.gob.ar/parlamentario/comisiones/verExp/463.25/S/PL","463")</f>
        <v>463</v>
      </c>
      <c r="C510" s="3" t="str">
        <f>HYPERLINK("https://www.senado.gob.ar/parlamentario/comisiones/verExp/463.25/S/PL","2025")</f>
        <v>2025</v>
      </c>
      <c r="D510" s="2" t="s">
        <v>56</v>
      </c>
      <c r="E510" s="2" t="s">
        <v>1109</v>
      </c>
      <c r="F510" s="2" t="s">
        <v>1098</v>
      </c>
      <c r="I510" s="2" t="s">
        <v>1099</v>
      </c>
      <c r="K510" s="2" t="s">
        <v>44</v>
      </c>
      <c r="L510" s="2" t="s">
        <v>1040</v>
      </c>
      <c r="N510" s="2" t="s">
        <v>1110</v>
      </c>
      <c r="O510" s="2">
        <v>53.0</v>
      </c>
      <c r="P510" s="2" t="s">
        <v>76</v>
      </c>
      <c r="Q510" s="2" t="s">
        <v>1055</v>
      </c>
      <c r="S510" s="2">
        <v>78.0</v>
      </c>
      <c r="T510" s="2" t="s">
        <v>73</v>
      </c>
      <c r="U510" s="2" t="s">
        <v>1055</v>
      </c>
      <c r="W510" s="2">
        <v>54.0</v>
      </c>
      <c r="X510" s="2" t="s">
        <v>65</v>
      </c>
      <c r="Y510" s="2" t="s">
        <v>1055</v>
      </c>
      <c r="AI510" s="2" t="str">
        <f t="shared" si="10"/>
        <v/>
      </c>
      <c r="AJ510" s="2" t="s">
        <v>49</v>
      </c>
      <c r="AK510" s="2" t="s">
        <v>50</v>
      </c>
    </row>
    <row r="511" ht="15.75" customHeight="1">
      <c r="A511" s="2" t="s">
        <v>39</v>
      </c>
      <c r="B511" s="3" t="str">
        <f>HYPERLINK("https://www.senado.gob.ar/parlamentario/comisiones/verExp/462.25/S/PL","462")</f>
        <v>462</v>
      </c>
      <c r="C511" s="3" t="str">
        <f>HYPERLINK("https://www.senado.gob.ar/parlamentario/comisiones/verExp/462.25/S/PL","2025")</f>
        <v>2025</v>
      </c>
      <c r="D511" s="2" t="s">
        <v>56</v>
      </c>
      <c r="E511" s="2" t="s">
        <v>1111</v>
      </c>
      <c r="F511" s="2" t="s">
        <v>1098</v>
      </c>
      <c r="I511" s="2" t="s">
        <v>1112</v>
      </c>
      <c r="K511" s="2" t="s">
        <v>593</v>
      </c>
      <c r="L511" s="2" t="s">
        <v>1113</v>
      </c>
      <c r="N511" s="2" t="s">
        <v>1114</v>
      </c>
      <c r="O511" s="2">
        <v>50.0</v>
      </c>
      <c r="P511" s="2" t="s">
        <v>47</v>
      </c>
      <c r="Q511" s="2" t="s">
        <v>1115</v>
      </c>
      <c r="AI511" s="2" t="str">
        <f t="shared" si="10"/>
        <v/>
      </c>
      <c r="AJ511" s="2" t="s">
        <v>49</v>
      </c>
      <c r="AK511" s="2" t="s">
        <v>50</v>
      </c>
    </row>
    <row r="512" ht="15.75" customHeight="1">
      <c r="A512" s="2" t="s">
        <v>39</v>
      </c>
      <c r="B512" s="3" t="str">
        <f>HYPERLINK("https://www.senado.gob.ar/parlamentario/comisiones/verExp/452.25/S/PL","452")</f>
        <v>452</v>
      </c>
      <c r="C512" s="3" t="str">
        <f>HYPERLINK("https://www.senado.gob.ar/parlamentario/comisiones/verExp/452.25/S/PL","2025")</f>
        <v>2025</v>
      </c>
      <c r="D512" s="2" t="s">
        <v>56</v>
      </c>
      <c r="E512" s="2" t="s">
        <v>1116</v>
      </c>
      <c r="F512" s="2" t="s">
        <v>1117</v>
      </c>
      <c r="I512" s="2" t="s">
        <v>1118</v>
      </c>
      <c r="K512" s="2" t="s">
        <v>44</v>
      </c>
      <c r="L512" s="2" t="s">
        <v>1118</v>
      </c>
      <c r="N512" s="2" t="s">
        <v>1119</v>
      </c>
      <c r="O512" s="2">
        <v>52.0</v>
      </c>
      <c r="P512" s="2" t="s">
        <v>78</v>
      </c>
      <c r="Q512" s="2" t="s">
        <v>1120</v>
      </c>
      <c r="S512" s="2">
        <v>54.0</v>
      </c>
      <c r="T512" s="2" t="s">
        <v>65</v>
      </c>
      <c r="U512" s="2" t="s">
        <v>1120</v>
      </c>
      <c r="W512" s="2">
        <v>53.0</v>
      </c>
      <c r="X512" s="2" t="s">
        <v>76</v>
      </c>
      <c r="Y512" s="2" t="s">
        <v>1120</v>
      </c>
      <c r="AI512" s="2" t="str">
        <f t="shared" si="10"/>
        <v/>
      </c>
      <c r="AJ512" s="2" t="s">
        <v>49</v>
      </c>
      <c r="AK512" s="2" t="s">
        <v>50</v>
      </c>
    </row>
    <row r="513" ht="15.75" customHeight="1">
      <c r="A513" s="2" t="s">
        <v>39</v>
      </c>
      <c r="B513" s="3" t="str">
        <f>HYPERLINK("https://www.senado.gob.ar/parlamentario/comisiones/verExp/449.25/S/PL","449")</f>
        <v>449</v>
      </c>
      <c r="C513" s="3" t="str">
        <f>HYPERLINK("https://www.senado.gob.ar/parlamentario/comisiones/verExp/449.25/S/PL","2025")</f>
        <v>2025</v>
      </c>
      <c r="D513" s="2" t="s">
        <v>56</v>
      </c>
      <c r="E513" s="2" t="s">
        <v>1121</v>
      </c>
      <c r="F513" s="2" t="s">
        <v>1117</v>
      </c>
      <c r="I513" s="2" t="s">
        <v>1122</v>
      </c>
      <c r="K513" s="2" t="s">
        <v>44</v>
      </c>
      <c r="L513" s="2" t="s">
        <v>1118</v>
      </c>
      <c r="N513" s="2" t="s">
        <v>226</v>
      </c>
      <c r="O513" s="2">
        <v>67.0</v>
      </c>
      <c r="P513" s="2" t="s">
        <v>84</v>
      </c>
      <c r="Q513" s="2" t="s">
        <v>1123</v>
      </c>
      <c r="S513" s="2">
        <v>58.0</v>
      </c>
      <c r="T513" s="2" t="s">
        <v>194</v>
      </c>
      <c r="U513" s="2" t="s">
        <v>1120</v>
      </c>
      <c r="W513" s="2">
        <v>54.0</v>
      </c>
      <c r="X513" s="2" t="s">
        <v>65</v>
      </c>
      <c r="Y513" s="2" t="s">
        <v>1120</v>
      </c>
      <c r="AI513" s="2" t="str">
        <f t="shared" si="10"/>
        <v/>
      </c>
      <c r="AJ513" s="2" t="s">
        <v>49</v>
      </c>
      <c r="AK513" s="2" t="s">
        <v>50</v>
      </c>
    </row>
    <row r="514" ht="15.75" customHeight="1">
      <c r="A514" s="2" t="s">
        <v>39</v>
      </c>
      <c r="B514" s="3" t="str">
        <f>HYPERLINK("https://www.senado.gob.ar/parlamentario/comisiones/verExp/446.25/S/PL","446")</f>
        <v>446</v>
      </c>
      <c r="C514" s="3" t="str">
        <f>HYPERLINK("https://www.senado.gob.ar/parlamentario/comisiones/verExp/446.25/S/PL","2025")</f>
        <v>2025</v>
      </c>
      <c r="D514" s="2" t="s">
        <v>56</v>
      </c>
      <c r="E514" s="2" t="s">
        <v>1124</v>
      </c>
      <c r="F514" s="2" t="s">
        <v>1117</v>
      </c>
      <c r="I514" s="2" t="s">
        <v>1122</v>
      </c>
      <c r="K514" s="2" t="s">
        <v>44</v>
      </c>
      <c r="L514" s="2" t="s">
        <v>1118</v>
      </c>
      <c r="N514" s="2" t="s">
        <v>204</v>
      </c>
      <c r="O514" s="2">
        <v>54.0</v>
      </c>
      <c r="P514" s="2" t="s">
        <v>65</v>
      </c>
      <c r="Q514" s="2" t="s">
        <v>1120</v>
      </c>
      <c r="AI514" s="2" t="str">
        <f t="shared" si="10"/>
        <v/>
      </c>
      <c r="AJ514" s="2" t="s">
        <v>49</v>
      </c>
      <c r="AK514" s="2" t="s">
        <v>50</v>
      </c>
    </row>
    <row r="515" ht="15.75" customHeight="1">
      <c r="A515" s="2" t="s">
        <v>39</v>
      </c>
      <c r="B515" s="3" t="str">
        <f>HYPERLINK("https://www.senado.gob.ar/parlamentario/comisiones/verExp/445.25/S/PL","445")</f>
        <v>445</v>
      </c>
      <c r="C515" s="3" t="str">
        <f>HYPERLINK("https://www.senado.gob.ar/parlamentario/comisiones/verExp/445.25/S/PL","2025")</f>
        <v>2025</v>
      </c>
      <c r="D515" s="2" t="s">
        <v>56</v>
      </c>
      <c r="E515" s="2" t="s">
        <v>1125</v>
      </c>
      <c r="F515" s="2" t="s">
        <v>1117</v>
      </c>
      <c r="I515" s="2" t="s">
        <v>1122</v>
      </c>
      <c r="K515" s="2" t="s">
        <v>44</v>
      </c>
      <c r="L515" s="2" t="s">
        <v>1118</v>
      </c>
      <c r="N515" s="2" t="s">
        <v>1071</v>
      </c>
      <c r="O515" s="2">
        <v>78.0</v>
      </c>
      <c r="P515" s="2" t="s">
        <v>73</v>
      </c>
      <c r="Q515" s="2" t="s">
        <v>1120</v>
      </c>
      <c r="AI515" s="2" t="str">
        <f t="shared" si="10"/>
        <v/>
      </c>
      <c r="AJ515" s="2" t="s">
        <v>49</v>
      </c>
      <c r="AK515" s="2" t="s">
        <v>50</v>
      </c>
    </row>
    <row r="516" ht="15.75" customHeight="1">
      <c r="A516" s="2" t="s">
        <v>39</v>
      </c>
      <c r="B516" s="3" t="str">
        <f>HYPERLINK("https://www.senado.gob.ar/parlamentario/comisiones/verExp/436.25/S/PL","436")</f>
        <v>436</v>
      </c>
      <c r="C516" s="3" t="str">
        <f>HYPERLINK("https://www.senado.gob.ar/parlamentario/comisiones/verExp/436.25/S/PL","2025")</f>
        <v>2025</v>
      </c>
      <c r="D516" s="2" t="s">
        <v>56</v>
      </c>
      <c r="E516" s="2" t="s">
        <v>1126</v>
      </c>
      <c r="F516" s="2" t="s">
        <v>1127</v>
      </c>
      <c r="I516" s="2" t="s">
        <v>1122</v>
      </c>
      <c r="K516" s="2" t="s">
        <v>44</v>
      </c>
      <c r="L516" s="2" t="s">
        <v>1118</v>
      </c>
      <c r="N516" s="2" t="s">
        <v>75</v>
      </c>
      <c r="O516" s="2">
        <v>75.0</v>
      </c>
      <c r="P516" s="2" t="s">
        <v>71</v>
      </c>
      <c r="Q516" s="2" t="s">
        <v>1120</v>
      </c>
      <c r="AI516" s="2" t="str">
        <f t="shared" si="10"/>
        <v/>
      </c>
      <c r="AJ516" s="2" t="s">
        <v>49</v>
      </c>
      <c r="AK516" s="2" t="s">
        <v>50</v>
      </c>
    </row>
    <row r="517" ht="15.75" customHeight="1">
      <c r="A517" s="2" t="s">
        <v>39</v>
      </c>
      <c r="B517" s="3" t="str">
        <f>HYPERLINK("https://www.senado.gob.ar/parlamentario/comisiones/verExp/430.25/S/PL","430")</f>
        <v>430</v>
      </c>
      <c r="C517" s="3" t="str">
        <f>HYPERLINK("https://www.senado.gob.ar/parlamentario/comisiones/verExp/430.25/S/PL","2025")</f>
        <v>2025</v>
      </c>
      <c r="D517" s="2" t="s">
        <v>56</v>
      </c>
      <c r="E517" s="2" t="s">
        <v>1128</v>
      </c>
      <c r="F517" s="2" t="s">
        <v>1127</v>
      </c>
      <c r="I517" s="2" t="s">
        <v>1122</v>
      </c>
      <c r="K517" s="2" t="s">
        <v>44</v>
      </c>
      <c r="L517" s="2" t="s">
        <v>1118</v>
      </c>
      <c r="M517" s="2" t="s">
        <v>431</v>
      </c>
      <c r="N517" s="2" t="s">
        <v>1129</v>
      </c>
      <c r="O517" s="2">
        <v>62.0</v>
      </c>
      <c r="P517" s="2" t="s">
        <v>205</v>
      </c>
      <c r="Q517" s="2" t="s">
        <v>1120</v>
      </c>
      <c r="S517" s="2">
        <v>54.0</v>
      </c>
      <c r="T517" s="2" t="s">
        <v>65</v>
      </c>
      <c r="U517" s="2" t="s">
        <v>1120</v>
      </c>
      <c r="AI517" s="2" t="str">
        <f t="shared" si="10"/>
        <v/>
      </c>
      <c r="AJ517" s="2" t="s">
        <v>49</v>
      </c>
      <c r="AK517" s="2" t="s">
        <v>50</v>
      </c>
    </row>
    <row r="518" ht="15.75" customHeight="1">
      <c r="A518" s="2" t="s">
        <v>39</v>
      </c>
      <c r="B518" s="3" t="str">
        <f>HYPERLINK("https://www.senado.gob.ar/parlamentario/comisiones/verExp/419.25/S/PL","419")</f>
        <v>419</v>
      </c>
      <c r="C518" s="3" t="str">
        <f>HYPERLINK("https://www.senado.gob.ar/parlamentario/comisiones/verExp/419.25/S/PL","2025")</f>
        <v>2025</v>
      </c>
      <c r="D518" s="2" t="s">
        <v>56</v>
      </c>
      <c r="E518" s="2" t="s">
        <v>1130</v>
      </c>
      <c r="F518" s="2" t="s">
        <v>1131</v>
      </c>
      <c r="I518" s="2" t="s">
        <v>1132</v>
      </c>
      <c r="K518" s="2" t="s">
        <v>44</v>
      </c>
      <c r="L518" s="2" t="s">
        <v>1112</v>
      </c>
      <c r="N518" s="2" t="s">
        <v>312</v>
      </c>
      <c r="O518" s="2">
        <v>54.0</v>
      </c>
      <c r="P518" s="2" t="s">
        <v>65</v>
      </c>
      <c r="Q518" s="2" t="s">
        <v>1123</v>
      </c>
      <c r="S518" s="2">
        <v>61.0</v>
      </c>
      <c r="T518" s="2" t="s">
        <v>104</v>
      </c>
      <c r="U518" s="2" t="s">
        <v>1123</v>
      </c>
      <c r="AI518" s="2" t="str">
        <f t="shared" si="10"/>
        <v/>
      </c>
      <c r="AJ518" s="2" t="s">
        <v>49</v>
      </c>
      <c r="AK518" s="2" t="s">
        <v>50</v>
      </c>
    </row>
    <row r="519" ht="15.75" customHeight="1">
      <c r="A519" s="2" t="s">
        <v>39</v>
      </c>
      <c r="B519" s="3" t="str">
        <f>HYPERLINK("https://www.senado.gob.ar/parlamentario/comisiones/verExp/413.25/S/PL","413")</f>
        <v>413</v>
      </c>
      <c r="C519" s="3" t="str">
        <f>HYPERLINK("https://www.senado.gob.ar/parlamentario/comisiones/verExp/413.25/S/PL","2025")</f>
        <v>2025</v>
      </c>
      <c r="D519" s="2" t="s">
        <v>56</v>
      </c>
      <c r="E519" s="2" t="s">
        <v>1133</v>
      </c>
      <c r="F519" s="2" t="s">
        <v>1131</v>
      </c>
      <c r="I519" s="2" t="s">
        <v>1132</v>
      </c>
      <c r="K519" s="2" t="s">
        <v>44</v>
      </c>
      <c r="L519" s="2" t="s">
        <v>1118</v>
      </c>
      <c r="N519" s="2" t="s">
        <v>380</v>
      </c>
      <c r="O519" s="2">
        <v>52.0</v>
      </c>
      <c r="P519" s="2" t="s">
        <v>78</v>
      </c>
      <c r="Q519" s="2" t="s">
        <v>1120</v>
      </c>
      <c r="AI519" s="2" t="str">
        <f t="shared" si="10"/>
        <v/>
      </c>
      <c r="AJ519" s="2" t="s">
        <v>49</v>
      </c>
      <c r="AK519" s="2" t="s">
        <v>50</v>
      </c>
    </row>
    <row r="520" ht="15.75" customHeight="1">
      <c r="A520" s="2" t="s">
        <v>39</v>
      </c>
      <c r="B520" s="3" t="str">
        <f>HYPERLINK("https://www.senado.gob.ar/parlamentario/comisiones/verExp/412.25/S/PL","412")</f>
        <v>412</v>
      </c>
      <c r="C520" s="3" t="str">
        <f>HYPERLINK("https://www.senado.gob.ar/parlamentario/comisiones/verExp/412.25/S/PL","2025")</f>
        <v>2025</v>
      </c>
      <c r="D520" s="2" t="s">
        <v>56</v>
      </c>
      <c r="E520" s="2" t="s">
        <v>1134</v>
      </c>
      <c r="F520" s="2" t="s">
        <v>1131</v>
      </c>
      <c r="I520" s="2" t="s">
        <v>1135</v>
      </c>
      <c r="K520" s="2" t="s">
        <v>593</v>
      </c>
      <c r="L520" s="2" t="s">
        <v>1136</v>
      </c>
      <c r="N520" s="2" t="s">
        <v>1137</v>
      </c>
      <c r="O520" s="2">
        <v>50.0</v>
      </c>
      <c r="P520" s="2" t="s">
        <v>47</v>
      </c>
      <c r="Q520" s="2" t="s">
        <v>1115</v>
      </c>
      <c r="AI520" s="2" t="str">
        <f t="shared" si="10"/>
        <v/>
      </c>
      <c r="AJ520" s="2" t="s">
        <v>49</v>
      </c>
      <c r="AK520" s="2" t="s">
        <v>50</v>
      </c>
    </row>
    <row r="521" ht="15.75" customHeight="1">
      <c r="A521" s="2" t="s">
        <v>39</v>
      </c>
      <c r="B521" s="3" t="str">
        <f>HYPERLINK("https://www.senado.gob.ar/parlamentario/comisiones/verExp/411.25/S/PL","411")</f>
        <v>411</v>
      </c>
      <c r="C521" s="3" t="str">
        <f>HYPERLINK("https://www.senado.gob.ar/parlamentario/comisiones/verExp/411.25/S/PL","2025")</f>
        <v>2025</v>
      </c>
      <c r="D521" s="2" t="s">
        <v>56</v>
      </c>
      <c r="E521" s="2" t="s">
        <v>1138</v>
      </c>
      <c r="F521" s="2" t="s">
        <v>1131</v>
      </c>
      <c r="I521" s="2" t="s">
        <v>1135</v>
      </c>
      <c r="K521" s="2" t="s">
        <v>44</v>
      </c>
      <c r="L521" s="2" t="s">
        <v>1118</v>
      </c>
      <c r="M521" s="2" t="s">
        <v>1139</v>
      </c>
      <c r="N521" s="2" t="s">
        <v>1140</v>
      </c>
      <c r="O521" s="2">
        <v>54.0</v>
      </c>
      <c r="P521" s="2" t="s">
        <v>65</v>
      </c>
      <c r="Q521" s="2" t="s">
        <v>1120</v>
      </c>
      <c r="AI521" s="2" t="str">
        <f t="shared" si="10"/>
        <v/>
      </c>
      <c r="AJ521" s="2" t="s">
        <v>49</v>
      </c>
      <c r="AK521" s="2" t="s">
        <v>50</v>
      </c>
    </row>
    <row r="522" ht="15.75" customHeight="1">
      <c r="A522" s="2" t="s">
        <v>1141</v>
      </c>
      <c r="B522" s="3" t="str">
        <f>HYPERLINK("https://www.senado.gob.ar/parlamentario/comisiones/verExp/383.25/OV/CV","383")</f>
        <v>383</v>
      </c>
      <c r="C522" s="3" t="str">
        <f>HYPERLINK("https://www.senado.gob.ar/parlamentario/comisiones/verExp/383.25/OV/CV","2025")</f>
        <v>2025</v>
      </c>
      <c r="D522" s="2" t="s">
        <v>1142</v>
      </c>
      <c r="E522" s="2" t="s">
        <v>1143</v>
      </c>
      <c r="F522" s="2" t="s">
        <v>340</v>
      </c>
      <c r="I522" s="2" t="s">
        <v>1144</v>
      </c>
      <c r="K522" s="2" t="s">
        <v>44</v>
      </c>
      <c r="L522" s="2" t="s">
        <v>1145</v>
      </c>
      <c r="O522" s="2">
        <v>100.0</v>
      </c>
      <c r="P522" s="2" t="s">
        <v>1146</v>
      </c>
      <c r="Q522" s="2" t="s">
        <v>1147</v>
      </c>
      <c r="AI522" s="2" t="str">
        <f t="shared" si="10"/>
        <v/>
      </c>
      <c r="AJ522" s="2" t="s">
        <v>49</v>
      </c>
      <c r="AK522" s="2" t="s">
        <v>50</v>
      </c>
    </row>
    <row r="523" ht="15.75" customHeight="1">
      <c r="A523" s="2" t="s">
        <v>1141</v>
      </c>
      <c r="B523" s="3" t="str">
        <f>HYPERLINK("https://www.senado.gob.ar/parlamentario/comisiones/verExp/382.25/OV/CV","382")</f>
        <v>382</v>
      </c>
      <c r="C523" s="3" t="str">
        <f>HYPERLINK("https://www.senado.gob.ar/parlamentario/comisiones/verExp/382.25/OV/CV","2025")</f>
        <v>2025</v>
      </c>
      <c r="D523" s="2" t="s">
        <v>1142</v>
      </c>
      <c r="E523" s="2" t="s">
        <v>1148</v>
      </c>
      <c r="F523" s="2" t="s">
        <v>340</v>
      </c>
      <c r="I523" s="2" t="s">
        <v>1144</v>
      </c>
      <c r="K523" s="2" t="s">
        <v>44</v>
      </c>
      <c r="L523" s="2" t="s">
        <v>1145</v>
      </c>
      <c r="O523" s="2">
        <v>100.0</v>
      </c>
      <c r="P523" s="2" t="s">
        <v>1146</v>
      </c>
      <c r="Q523" s="2" t="s">
        <v>1147</v>
      </c>
      <c r="AI523" s="2" t="str">
        <f t="shared" si="10"/>
        <v/>
      </c>
      <c r="AJ523" s="2" t="s">
        <v>49</v>
      </c>
      <c r="AK523" s="2" t="s">
        <v>50</v>
      </c>
    </row>
    <row r="524" ht="15.75" customHeight="1">
      <c r="A524" s="2" t="s">
        <v>1141</v>
      </c>
      <c r="B524" s="3" t="str">
        <f>HYPERLINK("https://www.senado.gob.ar/parlamentario/comisiones/verExp/381.25/OV/CV","381")</f>
        <v>381</v>
      </c>
      <c r="C524" s="3" t="str">
        <f>HYPERLINK("https://www.senado.gob.ar/parlamentario/comisiones/verExp/381.25/OV/CV","2025")</f>
        <v>2025</v>
      </c>
      <c r="D524" s="2" t="s">
        <v>1142</v>
      </c>
      <c r="E524" s="2" t="s">
        <v>1149</v>
      </c>
      <c r="F524" s="2" t="s">
        <v>340</v>
      </c>
      <c r="I524" s="2" t="s">
        <v>1144</v>
      </c>
      <c r="K524" s="2" t="s">
        <v>44</v>
      </c>
      <c r="L524" s="2" t="s">
        <v>1145</v>
      </c>
      <c r="O524" s="2">
        <v>100.0</v>
      </c>
      <c r="P524" s="2" t="s">
        <v>1146</v>
      </c>
      <c r="Q524" s="2" t="s">
        <v>1147</v>
      </c>
      <c r="AI524" s="2" t="str">
        <f t="shared" si="10"/>
        <v/>
      </c>
      <c r="AJ524" s="2" t="s">
        <v>49</v>
      </c>
      <c r="AK524" s="2" t="s">
        <v>50</v>
      </c>
    </row>
    <row r="525" ht="15.75" customHeight="1">
      <c r="A525" s="2" t="s">
        <v>1141</v>
      </c>
      <c r="B525" s="3" t="str">
        <f>HYPERLINK("https://www.senado.gob.ar/parlamentario/comisiones/verExp/380.25/OV/CV","380")</f>
        <v>380</v>
      </c>
      <c r="C525" s="3" t="str">
        <f>HYPERLINK("https://www.senado.gob.ar/parlamentario/comisiones/verExp/380.25/OV/CV","2025")</f>
        <v>2025</v>
      </c>
      <c r="D525" s="2" t="s">
        <v>1142</v>
      </c>
      <c r="E525" s="2" t="s">
        <v>1150</v>
      </c>
      <c r="F525" s="2" t="s">
        <v>340</v>
      </c>
      <c r="I525" s="2" t="s">
        <v>1144</v>
      </c>
      <c r="K525" s="2" t="s">
        <v>44</v>
      </c>
      <c r="L525" s="2" t="s">
        <v>1145</v>
      </c>
      <c r="O525" s="2">
        <v>100.0</v>
      </c>
      <c r="P525" s="2" t="s">
        <v>1146</v>
      </c>
      <c r="Q525" s="2" t="s">
        <v>1147</v>
      </c>
      <c r="AI525" s="2" t="str">
        <f t="shared" si="10"/>
        <v/>
      </c>
      <c r="AJ525" s="2" t="s">
        <v>49</v>
      </c>
      <c r="AK525" s="2" t="s">
        <v>50</v>
      </c>
    </row>
    <row r="526" ht="15.75" customHeight="1">
      <c r="A526" s="2" t="s">
        <v>1141</v>
      </c>
      <c r="B526" s="3" t="str">
        <f>HYPERLINK("https://www.senado.gob.ar/parlamentario/comisiones/verExp/379.25/OV/CV","379")</f>
        <v>379</v>
      </c>
      <c r="C526" s="3" t="str">
        <f>HYPERLINK("https://www.senado.gob.ar/parlamentario/comisiones/verExp/379.25/OV/CV","2025")</f>
        <v>2025</v>
      </c>
      <c r="D526" s="2" t="s">
        <v>1142</v>
      </c>
      <c r="E526" s="2" t="s">
        <v>1151</v>
      </c>
      <c r="F526" s="2" t="s">
        <v>340</v>
      </c>
      <c r="I526" s="2" t="s">
        <v>1144</v>
      </c>
      <c r="K526" s="2" t="s">
        <v>44</v>
      </c>
      <c r="L526" s="2" t="s">
        <v>1145</v>
      </c>
      <c r="O526" s="2">
        <v>100.0</v>
      </c>
      <c r="P526" s="2" t="s">
        <v>1146</v>
      </c>
      <c r="Q526" s="2" t="s">
        <v>1147</v>
      </c>
      <c r="AI526" s="2" t="str">
        <f t="shared" si="10"/>
        <v/>
      </c>
      <c r="AJ526" s="2" t="s">
        <v>49</v>
      </c>
      <c r="AK526" s="2" t="s">
        <v>50</v>
      </c>
    </row>
    <row r="527" ht="15.75" customHeight="1">
      <c r="A527" s="2" t="s">
        <v>1141</v>
      </c>
      <c r="B527" s="3" t="str">
        <f>HYPERLINK("https://www.senado.gob.ar/parlamentario/comisiones/verExp/378.25/OV/CV","378")</f>
        <v>378</v>
      </c>
      <c r="C527" s="3" t="str">
        <f>HYPERLINK("https://www.senado.gob.ar/parlamentario/comisiones/verExp/378.25/OV/CV","2025")</f>
        <v>2025</v>
      </c>
      <c r="D527" s="2" t="s">
        <v>1142</v>
      </c>
      <c r="E527" s="2" t="s">
        <v>1152</v>
      </c>
      <c r="F527" s="2" t="s">
        <v>340</v>
      </c>
      <c r="I527" s="2" t="s">
        <v>1144</v>
      </c>
      <c r="K527" s="2" t="s">
        <v>44</v>
      </c>
      <c r="L527" s="2" t="s">
        <v>1145</v>
      </c>
      <c r="O527" s="2">
        <v>100.0</v>
      </c>
      <c r="P527" s="2" t="s">
        <v>1146</v>
      </c>
      <c r="Q527" s="2" t="s">
        <v>1147</v>
      </c>
      <c r="AI527" s="2" t="str">
        <f t="shared" si="10"/>
        <v/>
      </c>
      <c r="AJ527" s="2" t="s">
        <v>49</v>
      </c>
      <c r="AK527" s="2" t="s">
        <v>50</v>
      </c>
    </row>
    <row r="528" ht="15.75" customHeight="1">
      <c r="A528" s="2" t="s">
        <v>39</v>
      </c>
      <c r="B528" s="3" t="str">
        <f>HYPERLINK("https://www.senado.gob.ar/parlamentario/comisiones/verExp/378.25/S/PL","378")</f>
        <v>378</v>
      </c>
      <c r="C528" s="3" t="str">
        <f>HYPERLINK("https://www.senado.gob.ar/parlamentario/comisiones/verExp/378.25/S/PL","2025")</f>
        <v>2025</v>
      </c>
      <c r="D528" s="2" t="s">
        <v>56</v>
      </c>
      <c r="E528" s="2" t="s">
        <v>1153</v>
      </c>
      <c r="F528" s="2" t="s">
        <v>1154</v>
      </c>
      <c r="I528" s="2" t="s">
        <v>1155</v>
      </c>
      <c r="K528" s="2" t="s">
        <v>44</v>
      </c>
      <c r="L528" s="2" t="s">
        <v>1118</v>
      </c>
      <c r="N528" s="2" t="s">
        <v>204</v>
      </c>
      <c r="O528" s="2">
        <v>54.0</v>
      </c>
      <c r="P528" s="2" t="s">
        <v>65</v>
      </c>
      <c r="Q528" s="2" t="s">
        <v>1120</v>
      </c>
      <c r="AI528" s="2" t="str">
        <f t="shared" si="10"/>
        <v/>
      </c>
      <c r="AJ528" s="2" t="s">
        <v>49</v>
      </c>
      <c r="AK528" s="2" t="s">
        <v>50</v>
      </c>
    </row>
    <row r="529" ht="15.75" customHeight="1">
      <c r="A529" s="2" t="s">
        <v>1141</v>
      </c>
      <c r="B529" s="3" t="str">
        <f>HYPERLINK("https://www.senado.gob.ar/parlamentario/comisiones/verExp/377.25/OV/CV","377")</f>
        <v>377</v>
      </c>
      <c r="C529" s="3" t="str">
        <f>HYPERLINK("https://www.senado.gob.ar/parlamentario/comisiones/verExp/377.25/OV/CV","2025")</f>
        <v>2025</v>
      </c>
      <c r="D529" s="2" t="s">
        <v>1142</v>
      </c>
      <c r="E529" s="2" t="s">
        <v>1156</v>
      </c>
      <c r="F529" s="2" t="s">
        <v>340</v>
      </c>
      <c r="I529" s="2" t="s">
        <v>1144</v>
      </c>
      <c r="K529" s="2" t="s">
        <v>44</v>
      </c>
      <c r="L529" s="2" t="s">
        <v>1145</v>
      </c>
      <c r="O529" s="2">
        <v>100.0</v>
      </c>
      <c r="P529" s="2" t="s">
        <v>1146</v>
      </c>
      <c r="Q529" s="2" t="s">
        <v>1147</v>
      </c>
      <c r="AI529" s="2" t="str">
        <f t="shared" si="10"/>
        <v/>
      </c>
      <c r="AJ529" s="2" t="s">
        <v>49</v>
      </c>
      <c r="AK529" s="2" t="s">
        <v>50</v>
      </c>
    </row>
    <row r="530" ht="15.75" customHeight="1">
      <c r="A530" s="2" t="s">
        <v>39</v>
      </c>
      <c r="B530" s="3" t="str">
        <f>HYPERLINK("https://www.senado.gob.ar/parlamentario/comisiones/verExp/377.25/S/PL","377")</f>
        <v>377</v>
      </c>
      <c r="C530" s="3" t="str">
        <f>HYPERLINK("https://www.senado.gob.ar/parlamentario/comisiones/verExp/377.25/S/PL","2025")</f>
        <v>2025</v>
      </c>
      <c r="D530" s="2" t="s">
        <v>56</v>
      </c>
      <c r="E530" s="2" t="s">
        <v>1157</v>
      </c>
      <c r="F530" s="2" t="s">
        <v>1154</v>
      </c>
      <c r="I530" s="2" t="s">
        <v>1155</v>
      </c>
      <c r="K530" s="2" t="s">
        <v>44</v>
      </c>
      <c r="L530" s="2" t="s">
        <v>1118</v>
      </c>
      <c r="N530" s="2" t="s">
        <v>204</v>
      </c>
      <c r="O530" s="2">
        <v>54.0</v>
      </c>
      <c r="P530" s="2" t="s">
        <v>65</v>
      </c>
      <c r="Q530" s="2" t="s">
        <v>1120</v>
      </c>
      <c r="AI530" s="2" t="str">
        <f t="shared" si="10"/>
        <v/>
      </c>
      <c r="AJ530" s="2" t="s">
        <v>49</v>
      </c>
      <c r="AK530" s="2" t="s">
        <v>50</v>
      </c>
    </row>
    <row r="531" ht="15.75" customHeight="1">
      <c r="A531" s="2" t="s">
        <v>1141</v>
      </c>
      <c r="B531" s="3" t="str">
        <f>HYPERLINK("https://www.senado.gob.ar/parlamentario/comisiones/verExp/376.25/OV/CV","376")</f>
        <v>376</v>
      </c>
      <c r="C531" s="3" t="str">
        <f>HYPERLINK("https://www.senado.gob.ar/parlamentario/comisiones/verExp/376.25/OV/CV","2025")</f>
        <v>2025</v>
      </c>
      <c r="D531" s="2" t="s">
        <v>1142</v>
      </c>
      <c r="E531" s="2" t="s">
        <v>1158</v>
      </c>
      <c r="F531" s="2" t="s">
        <v>340</v>
      </c>
      <c r="I531" s="2" t="s">
        <v>1144</v>
      </c>
      <c r="K531" s="2" t="s">
        <v>44</v>
      </c>
      <c r="L531" s="2" t="s">
        <v>1145</v>
      </c>
      <c r="O531" s="2">
        <v>100.0</v>
      </c>
      <c r="P531" s="2" t="s">
        <v>1146</v>
      </c>
      <c r="Q531" s="2" t="s">
        <v>1147</v>
      </c>
      <c r="AI531" s="2" t="str">
        <f t="shared" si="10"/>
        <v/>
      </c>
      <c r="AJ531" s="2" t="s">
        <v>49</v>
      </c>
      <c r="AK531" s="2" t="s">
        <v>50</v>
      </c>
    </row>
    <row r="532" ht="15.75" customHeight="1">
      <c r="A532" s="2" t="s">
        <v>1141</v>
      </c>
      <c r="B532" s="3" t="str">
        <f>HYPERLINK("https://www.senado.gob.ar/parlamentario/comisiones/verExp/375.25/OV/CV","375")</f>
        <v>375</v>
      </c>
      <c r="C532" s="3" t="str">
        <f>HYPERLINK("https://www.senado.gob.ar/parlamentario/comisiones/verExp/375.25/OV/CV","2025")</f>
        <v>2025</v>
      </c>
      <c r="D532" s="2" t="s">
        <v>1142</v>
      </c>
      <c r="E532" s="2" t="s">
        <v>1159</v>
      </c>
      <c r="F532" s="2" t="s">
        <v>340</v>
      </c>
      <c r="I532" s="2" t="s">
        <v>1144</v>
      </c>
      <c r="K532" s="2" t="s">
        <v>44</v>
      </c>
      <c r="L532" s="2" t="s">
        <v>1145</v>
      </c>
      <c r="O532" s="2">
        <v>100.0</v>
      </c>
      <c r="P532" s="2" t="s">
        <v>1146</v>
      </c>
      <c r="Q532" s="2" t="s">
        <v>1147</v>
      </c>
      <c r="AI532" s="2" t="str">
        <f t="shared" si="10"/>
        <v/>
      </c>
      <c r="AJ532" s="2" t="s">
        <v>49</v>
      </c>
      <c r="AK532" s="2" t="s">
        <v>50</v>
      </c>
    </row>
    <row r="533" ht="15.75" customHeight="1">
      <c r="A533" s="2" t="s">
        <v>1141</v>
      </c>
      <c r="B533" s="3" t="str">
        <f>HYPERLINK("https://www.senado.gob.ar/parlamentario/comisiones/verExp/374.25/OV/CV","374")</f>
        <v>374</v>
      </c>
      <c r="C533" s="3" t="str">
        <f>HYPERLINK("https://www.senado.gob.ar/parlamentario/comisiones/verExp/374.25/OV/CV","2025")</f>
        <v>2025</v>
      </c>
      <c r="D533" s="2" t="s">
        <v>1142</v>
      </c>
      <c r="E533" s="2" t="s">
        <v>1160</v>
      </c>
      <c r="F533" s="2" t="s">
        <v>340</v>
      </c>
      <c r="I533" s="2" t="s">
        <v>1144</v>
      </c>
      <c r="K533" s="2" t="s">
        <v>44</v>
      </c>
      <c r="L533" s="2" t="s">
        <v>1145</v>
      </c>
      <c r="O533" s="2">
        <v>100.0</v>
      </c>
      <c r="P533" s="2" t="s">
        <v>1146</v>
      </c>
      <c r="Q533" s="2" t="s">
        <v>1147</v>
      </c>
      <c r="AI533" s="2" t="str">
        <f t="shared" si="10"/>
        <v/>
      </c>
      <c r="AJ533" s="2" t="s">
        <v>49</v>
      </c>
      <c r="AK533" s="2" t="s">
        <v>50</v>
      </c>
    </row>
    <row r="534" ht="15.75" customHeight="1">
      <c r="A534" s="2" t="s">
        <v>39</v>
      </c>
      <c r="B534" s="3" t="str">
        <f>HYPERLINK("https://www.senado.gob.ar/parlamentario/comisiones/verExp/374.25/S/PR","374")</f>
        <v>374</v>
      </c>
      <c r="C534" s="3" t="str">
        <f>HYPERLINK("https://www.senado.gob.ar/parlamentario/comisiones/verExp/374.25/S/PR","2025")</f>
        <v>2025</v>
      </c>
      <c r="D534" s="2" t="s">
        <v>145</v>
      </c>
      <c r="E534" s="2" t="s">
        <v>1161</v>
      </c>
      <c r="F534" s="2" t="s">
        <v>1154</v>
      </c>
      <c r="I534" s="2" t="s">
        <v>1155</v>
      </c>
      <c r="K534" s="2" t="s">
        <v>44</v>
      </c>
      <c r="L534" s="2" t="s">
        <v>1118</v>
      </c>
      <c r="N534" s="2" t="s">
        <v>563</v>
      </c>
      <c r="O534" s="2">
        <v>75.0</v>
      </c>
      <c r="P534" s="2" t="s">
        <v>71</v>
      </c>
      <c r="Q534" s="2" t="s">
        <v>1120</v>
      </c>
      <c r="AI534" s="2" t="str">
        <f t="shared" si="10"/>
        <v/>
      </c>
      <c r="AJ534" s="2" t="s">
        <v>49</v>
      </c>
      <c r="AK534" s="2" t="s">
        <v>50</v>
      </c>
    </row>
    <row r="535" ht="15.75" customHeight="1">
      <c r="A535" s="2" t="s">
        <v>1141</v>
      </c>
      <c r="B535" s="3" t="str">
        <f>HYPERLINK("https://www.senado.gob.ar/parlamentario/comisiones/verExp/373.25/OV/CV","373")</f>
        <v>373</v>
      </c>
      <c r="C535" s="3" t="str">
        <f>HYPERLINK("https://www.senado.gob.ar/parlamentario/comisiones/verExp/373.25/OV/CV","2025")</f>
        <v>2025</v>
      </c>
      <c r="D535" s="2" t="s">
        <v>1142</v>
      </c>
      <c r="E535" s="2" t="s">
        <v>1162</v>
      </c>
      <c r="F535" s="2" t="s">
        <v>340</v>
      </c>
      <c r="I535" s="2" t="s">
        <v>1144</v>
      </c>
      <c r="K535" s="2" t="s">
        <v>44</v>
      </c>
      <c r="L535" s="2" t="s">
        <v>1145</v>
      </c>
      <c r="O535" s="2">
        <v>100.0</v>
      </c>
      <c r="P535" s="2" t="s">
        <v>1146</v>
      </c>
      <c r="Q535" s="2" t="s">
        <v>1147</v>
      </c>
      <c r="AI535" s="2" t="str">
        <f t="shared" si="10"/>
        <v/>
      </c>
      <c r="AJ535" s="2" t="s">
        <v>49</v>
      </c>
      <c r="AK535" s="2" t="s">
        <v>50</v>
      </c>
    </row>
    <row r="536" ht="15.75" customHeight="1">
      <c r="A536" s="2" t="s">
        <v>1141</v>
      </c>
      <c r="B536" s="3" t="str">
        <f>HYPERLINK("https://www.senado.gob.ar/parlamentario/comisiones/verExp/372.25/OV/CV","372")</f>
        <v>372</v>
      </c>
      <c r="C536" s="3" t="str">
        <f>HYPERLINK("https://www.senado.gob.ar/parlamentario/comisiones/verExp/372.25/OV/CV","2025")</f>
        <v>2025</v>
      </c>
      <c r="D536" s="2" t="s">
        <v>1142</v>
      </c>
      <c r="E536" s="2" t="s">
        <v>1163</v>
      </c>
      <c r="F536" s="2" t="s">
        <v>340</v>
      </c>
      <c r="I536" s="2" t="s">
        <v>1144</v>
      </c>
      <c r="K536" s="2" t="s">
        <v>44</v>
      </c>
      <c r="L536" s="2" t="s">
        <v>1145</v>
      </c>
      <c r="O536" s="2">
        <v>100.0</v>
      </c>
      <c r="P536" s="2" t="s">
        <v>1146</v>
      </c>
      <c r="Q536" s="2" t="s">
        <v>1147</v>
      </c>
      <c r="AI536" s="2" t="str">
        <f t="shared" si="10"/>
        <v/>
      </c>
      <c r="AJ536" s="2" t="s">
        <v>49</v>
      </c>
      <c r="AK536" s="2" t="s">
        <v>50</v>
      </c>
    </row>
    <row r="537" ht="15.75" customHeight="1">
      <c r="A537" s="2" t="s">
        <v>1141</v>
      </c>
      <c r="B537" s="3" t="str">
        <f>HYPERLINK("https://www.senado.gob.ar/parlamentario/comisiones/verExp/371.25/OV/CV","371")</f>
        <v>371</v>
      </c>
      <c r="C537" s="3" t="str">
        <f>HYPERLINK("https://www.senado.gob.ar/parlamentario/comisiones/verExp/371.25/OV/CV","2025")</f>
        <v>2025</v>
      </c>
      <c r="D537" s="2" t="s">
        <v>1142</v>
      </c>
      <c r="E537" s="2" t="s">
        <v>1164</v>
      </c>
      <c r="F537" s="2" t="s">
        <v>340</v>
      </c>
      <c r="I537" s="2" t="s">
        <v>1144</v>
      </c>
      <c r="K537" s="2" t="s">
        <v>44</v>
      </c>
      <c r="L537" s="2" t="s">
        <v>1145</v>
      </c>
      <c r="O537" s="2">
        <v>100.0</v>
      </c>
      <c r="P537" s="2" t="s">
        <v>1146</v>
      </c>
      <c r="Q537" s="2" t="s">
        <v>1147</v>
      </c>
      <c r="AI537" s="2" t="str">
        <f t="shared" si="10"/>
        <v/>
      </c>
      <c r="AJ537" s="2" t="s">
        <v>49</v>
      </c>
      <c r="AK537" s="2" t="s">
        <v>50</v>
      </c>
    </row>
    <row r="538" ht="15.75" customHeight="1">
      <c r="A538" s="2" t="s">
        <v>1141</v>
      </c>
      <c r="B538" s="3" t="str">
        <f>HYPERLINK("https://www.senado.gob.ar/parlamentario/comisiones/verExp/370.25/OV/CV","370")</f>
        <v>370</v>
      </c>
      <c r="C538" s="3" t="str">
        <f>HYPERLINK("https://www.senado.gob.ar/parlamentario/comisiones/verExp/370.25/OV/CV","2025")</f>
        <v>2025</v>
      </c>
      <c r="D538" s="2" t="s">
        <v>1142</v>
      </c>
      <c r="E538" s="2" t="s">
        <v>1165</v>
      </c>
      <c r="F538" s="2" t="s">
        <v>340</v>
      </c>
      <c r="I538" s="2" t="s">
        <v>1144</v>
      </c>
      <c r="K538" s="2" t="s">
        <v>44</v>
      </c>
      <c r="L538" s="2" t="s">
        <v>1145</v>
      </c>
      <c r="O538" s="2">
        <v>100.0</v>
      </c>
      <c r="P538" s="2" t="s">
        <v>1146</v>
      </c>
      <c r="Q538" s="2" t="s">
        <v>1147</v>
      </c>
      <c r="AI538" s="2" t="str">
        <f t="shared" si="10"/>
        <v/>
      </c>
      <c r="AJ538" s="2" t="s">
        <v>49</v>
      </c>
      <c r="AK538" s="2" t="s">
        <v>50</v>
      </c>
    </row>
    <row r="539" ht="15.75" customHeight="1">
      <c r="A539" s="2" t="s">
        <v>39</v>
      </c>
      <c r="B539" s="3" t="str">
        <f>HYPERLINK("https://www.senado.gob.ar/parlamentario/comisiones/verExp/370.25/S/PL","370")</f>
        <v>370</v>
      </c>
      <c r="C539" s="3" t="str">
        <f>HYPERLINK("https://www.senado.gob.ar/parlamentario/comisiones/verExp/370.25/S/PL","2025")</f>
        <v>2025</v>
      </c>
      <c r="D539" s="2" t="s">
        <v>56</v>
      </c>
      <c r="E539" s="2" t="s">
        <v>1166</v>
      </c>
      <c r="F539" s="2" t="s">
        <v>1154</v>
      </c>
      <c r="I539" s="2" t="s">
        <v>1155</v>
      </c>
      <c r="K539" s="2" t="s">
        <v>44</v>
      </c>
      <c r="L539" s="2" t="s">
        <v>1118</v>
      </c>
      <c r="N539" s="2" t="s">
        <v>1167</v>
      </c>
      <c r="O539" s="2">
        <v>52.0</v>
      </c>
      <c r="P539" s="2" t="s">
        <v>78</v>
      </c>
      <c r="Q539" s="2" t="s">
        <v>1120</v>
      </c>
      <c r="AI539" s="2" t="str">
        <f t="shared" si="10"/>
        <v/>
      </c>
      <c r="AJ539" s="2" t="s">
        <v>49</v>
      </c>
      <c r="AK539" s="2" t="s">
        <v>50</v>
      </c>
    </row>
    <row r="540" ht="15.75" customHeight="1">
      <c r="A540" s="2" t="s">
        <v>1141</v>
      </c>
      <c r="B540" s="3" t="str">
        <f>HYPERLINK("https://www.senado.gob.ar/parlamentario/comisiones/verExp/369.25/OV/CV","369")</f>
        <v>369</v>
      </c>
      <c r="C540" s="3" t="str">
        <f>HYPERLINK("https://www.senado.gob.ar/parlamentario/comisiones/verExp/369.25/OV/CV","2025")</f>
        <v>2025</v>
      </c>
      <c r="D540" s="2" t="s">
        <v>1142</v>
      </c>
      <c r="E540" s="2" t="s">
        <v>1168</v>
      </c>
      <c r="F540" s="2" t="s">
        <v>340</v>
      </c>
      <c r="I540" s="2" t="s">
        <v>1144</v>
      </c>
      <c r="K540" s="2" t="s">
        <v>44</v>
      </c>
      <c r="L540" s="2" t="s">
        <v>1145</v>
      </c>
      <c r="O540" s="2">
        <v>100.0</v>
      </c>
      <c r="P540" s="2" t="s">
        <v>1146</v>
      </c>
      <c r="Q540" s="2" t="s">
        <v>1147</v>
      </c>
      <c r="AI540" s="2" t="str">
        <f t="shared" si="10"/>
        <v/>
      </c>
      <c r="AJ540" s="2" t="s">
        <v>49</v>
      </c>
      <c r="AK540" s="2" t="s">
        <v>50</v>
      </c>
    </row>
    <row r="541" ht="15.75" customHeight="1">
      <c r="A541" s="2" t="s">
        <v>1141</v>
      </c>
      <c r="B541" s="3" t="str">
        <f>HYPERLINK("https://www.senado.gob.ar/parlamentario/comisiones/verExp/368.25/OV/CV","368")</f>
        <v>368</v>
      </c>
      <c r="C541" s="3" t="str">
        <f>HYPERLINK("https://www.senado.gob.ar/parlamentario/comisiones/verExp/368.25/OV/CV","2025")</f>
        <v>2025</v>
      </c>
      <c r="D541" s="2" t="s">
        <v>1142</v>
      </c>
      <c r="E541" s="2" t="s">
        <v>1169</v>
      </c>
      <c r="F541" s="2" t="s">
        <v>340</v>
      </c>
      <c r="I541" s="2" t="s">
        <v>1144</v>
      </c>
      <c r="K541" s="2" t="s">
        <v>44</v>
      </c>
      <c r="L541" s="2" t="s">
        <v>1145</v>
      </c>
      <c r="O541" s="2">
        <v>100.0</v>
      </c>
      <c r="P541" s="2" t="s">
        <v>1146</v>
      </c>
      <c r="Q541" s="2" t="s">
        <v>1147</v>
      </c>
      <c r="AI541" s="2" t="str">
        <f t="shared" si="10"/>
        <v/>
      </c>
      <c r="AJ541" s="2" t="s">
        <v>49</v>
      </c>
      <c r="AK541" s="2" t="s">
        <v>50</v>
      </c>
    </row>
    <row r="542" ht="15.75" customHeight="1">
      <c r="A542" s="2" t="s">
        <v>1141</v>
      </c>
      <c r="B542" s="3" t="str">
        <f>HYPERLINK("https://www.senado.gob.ar/parlamentario/comisiones/verExp/367.25/OV/CV","367")</f>
        <v>367</v>
      </c>
      <c r="C542" s="3" t="str">
        <f>HYPERLINK("https://www.senado.gob.ar/parlamentario/comisiones/verExp/367.25/OV/CV","2025")</f>
        <v>2025</v>
      </c>
      <c r="D542" s="2" t="s">
        <v>1142</v>
      </c>
      <c r="E542" s="2" t="s">
        <v>1170</v>
      </c>
      <c r="F542" s="2" t="s">
        <v>340</v>
      </c>
      <c r="I542" s="2" t="s">
        <v>1144</v>
      </c>
      <c r="K542" s="2" t="s">
        <v>44</v>
      </c>
      <c r="L542" s="2" t="s">
        <v>1145</v>
      </c>
      <c r="O542" s="2">
        <v>100.0</v>
      </c>
      <c r="P542" s="2" t="s">
        <v>1146</v>
      </c>
      <c r="Q542" s="2" t="s">
        <v>1147</v>
      </c>
      <c r="AI542" s="2" t="str">
        <f t="shared" si="10"/>
        <v/>
      </c>
      <c r="AJ542" s="2" t="s">
        <v>49</v>
      </c>
      <c r="AK542" s="2" t="s">
        <v>50</v>
      </c>
    </row>
    <row r="543" ht="15.75" customHeight="1">
      <c r="A543" s="2" t="s">
        <v>1141</v>
      </c>
      <c r="B543" s="3" t="str">
        <f>HYPERLINK("https://www.senado.gob.ar/parlamentario/comisiones/verExp/366.25/OV/CV","366")</f>
        <v>366</v>
      </c>
      <c r="C543" s="3" t="str">
        <f>HYPERLINK("https://www.senado.gob.ar/parlamentario/comisiones/verExp/366.25/OV/CV","2025")</f>
        <v>2025</v>
      </c>
      <c r="D543" s="2" t="s">
        <v>1142</v>
      </c>
      <c r="E543" s="2" t="s">
        <v>1171</v>
      </c>
      <c r="F543" s="2" t="s">
        <v>340</v>
      </c>
      <c r="I543" s="2" t="s">
        <v>1144</v>
      </c>
      <c r="K543" s="2" t="s">
        <v>44</v>
      </c>
      <c r="L543" s="2" t="s">
        <v>1145</v>
      </c>
      <c r="O543" s="2">
        <v>100.0</v>
      </c>
      <c r="P543" s="2" t="s">
        <v>1146</v>
      </c>
      <c r="Q543" s="2" t="s">
        <v>1147</v>
      </c>
      <c r="AI543" s="2" t="str">
        <f t="shared" si="10"/>
        <v/>
      </c>
      <c r="AJ543" s="2" t="s">
        <v>49</v>
      </c>
      <c r="AK543" s="2" t="s">
        <v>50</v>
      </c>
    </row>
    <row r="544" ht="15.75" customHeight="1">
      <c r="A544" s="2" t="s">
        <v>1141</v>
      </c>
      <c r="B544" s="3" t="str">
        <f>HYPERLINK("https://www.senado.gob.ar/parlamentario/comisiones/verExp/365.25/OV/CV","365")</f>
        <v>365</v>
      </c>
      <c r="C544" s="3" t="str">
        <f>HYPERLINK("https://www.senado.gob.ar/parlamentario/comisiones/verExp/365.25/OV/CV","2025")</f>
        <v>2025</v>
      </c>
      <c r="D544" s="2" t="s">
        <v>1142</v>
      </c>
      <c r="E544" s="2" t="s">
        <v>1172</v>
      </c>
      <c r="F544" s="2" t="s">
        <v>340</v>
      </c>
      <c r="I544" s="2" t="s">
        <v>1144</v>
      </c>
      <c r="K544" s="2" t="s">
        <v>44</v>
      </c>
      <c r="L544" s="2" t="s">
        <v>1145</v>
      </c>
      <c r="O544" s="2">
        <v>100.0</v>
      </c>
      <c r="P544" s="2" t="s">
        <v>1146</v>
      </c>
      <c r="Q544" s="2" t="s">
        <v>1147</v>
      </c>
      <c r="AI544" s="2" t="str">
        <f t="shared" si="10"/>
        <v/>
      </c>
      <c r="AJ544" s="2" t="s">
        <v>49</v>
      </c>
      <c r="AK544" s="2" t="s">
        <v>50</v>
      </c>
    </row>
    <row r="545" ht="15.75" customHeight="1">
      <c r="A545" s="2" t="s">
        <v>1141</v>
      </c>
      <c r="B545" s="3" t="str">
        <f>HYPERLINK("https://www.senado.gob.ar/parlamentario/comisiones/verExp/364.25/OV/CV","364")</f>
        <v>364</v>
      </c>
      <c r="C545" s="3" t="str">
        <f>HYPERLINK("https://www.senado.gob.ar/parlamentario/comisiones/verExp/364.25/OV/CV","2025")</f>
        <v>2025</v>
      </c>
      <c r="D545" s="2" t="s">
        <v>1142</v>
      </c>
      <c r="E545" s="2" t="s">
        <v>1173</v>
      </c>
      <c r="F545" s="2" t="s">
        <v>340</v>
      </c>
      <c r="I545" s="2" t="s">
        <v>1144</v>
      </c>
      <c r="K545" s="2" t="s">
        <v>44</v>
      </c>
      <c r="L545" s="2" t="s">
        <v>1145</v>
      </c>
      <c r="O545" s="2">
        <v>100.0</v>
      </c>
      <c r="P545" s="2" t="s">
        <v>1146</v>
      </c>
      <c r="Q545" s="2" t="s">
        <v>1147</v>
      </c>
      <c r="AI545" s="2" t="str">
        <f t="shared" si="10"/>
        <v/>
      </c>
      <c r="AJ545" s="2" t="s">
        <v>49</v>
      </c>
      <c r="AK545" s="2" t="s">
        <v>50</v>
      </c>
    </row>
    <row r="546" ht="15.75" customHeight="1">
      <c r="A546" s="2" t="s">
        <v>1141</v>
      </c>
      <c r="B546" s="3" t="str">
        <f>HYPERLINK("https://www.senado.gob.ar/parlamentario/comisiones/verExp/363.25/OV/CV","363")</f>
        <v>363</v>
      </c>
      <c r="C546" s="3" t="str">
        <f>HYPERLINK("https://www.senado.gob.ar/parlamentario/comisiones/verExp/363.25/OV/CV","2025")</f>
        <v>2025</v>
      </c>
      <c r="D546" s="2" t="s">
        <v>1142</v>
      </c>
      <c r="E546" s="2" t="s">
        <v>1174</v>
      </c>
      <c r="F546" s="2" t="s">
        <v>340</v>
      </c>
      <c r="I546" s="2" t="s">
        <v>1144</v>
      </c>
      <c r="K546" s="2" t="s">
        <v>44</v>
      </c>
      <c r="L546" s="2" t="s">
        <v>1145</v>
      </c>
      <c r="O546" s="2">
        <v>100.0</v>
      </c>
      <c r="P546" s="2" t="s">
        <v>1146</v>
      </c>
      <c r="Q546" s="2" t="s">
        <v>1147</v>
      </c>
      <c r="AI546" s="2" t="str">
        <f t="shared" si="10"/>
        <v/>
      </c>
      <c r="AJ546" s="2" t="s">
        <v>49</v>
      </c>
      <c r="AK546" s="2" t="s">
        <v>50</v>
      </c>
    </row>
    <row r="547" ht="15.75" customHeight="1">
      <c r="A547" s="2" t="s">
        <v>1141</v>
      </c>
      <c r="B547" s="3" t="str">
        <f>HYPERLINK("https://www.senado.gob.ar/parlamentario/comisiones/verExp/362.25/OV/CV","362")</f>
        <v>362</v>
      </c>
      <c r="C547" s="3" t="str">
        <f>HYPERLINK("https://www.senado.gob.ar/parlamentario/comisiones/verExp/362.25/OV/CV","2025")</f>
        <v>2025</v>
      </c>
      <c r="D547" s="2" t="s">
        <v>1142</v>
      </c>
      <c r="E547" s="2" t="s">
        <v>1175</v>
      </c>
      <c r="F547" s="2" t="s">
        <v>340</v>
      </c>
      <c r="I547" s="2" t="s">
        <v>1144</v>
      </c>
      <c r="K547" s="2" t="s">
        <v>44</v>
      </c>
      <c r="L547" s="2" t="s">
        <v>1145</v>
      </c>
      <c r="O547" s="2">
        <v>100.0</v>
      </c>
      <c r="P547" s="2" t="s">
        <v>1146</v>
      </c>
      <c r="Q547" s="2" t="s">
        <v>1147</v>
      </c>
      <c r="AI547" s="2" t="str">
        <f t="shared" si="10"/>
        <v/>
      </c>
      <c r="AJ547" s="2" t="s">
        <v>49</v>
      </c>
      <c r="AK547" s="2" t="s">
        <v>50</v>
      </c>
    </row>
    <row r="548" ht="15.75" customHeight="1">
      <c r="A548" s="2" t="s">
        <v>1141</v>
      </c>
      <c r="B548" s="3" t="str">
        <f>HYPERLINK("https://www.senado.gob.ar/parlamentario/comisiones/verExp/361.25/OV/CV","361")</f>
        <v>361</v>
      </c>
      <c r="C548" s="3" t="str">
        <f>HYPERLINK("https://www.senado.gob.ar/parlamentario/comisiones/verExp/361.25/OV/CV","2025")</f>
        <v>2025</v>
      </c>
      <c r="D548" s="2" t="s">
        <v>1142</v>
      </c>
      <c r="E548" s="2" t="s">
        <v>1176</v>
      </c>
      <c r="F548" s="2" t="s">
        <v>340</v>
      </c>
      <c r="I548" s="2" t="s">
        <v>1144</v>
      </c>
      <c r="K548" s="2" t="s">
        <v>44</v>
      </c>
      <c r="L548" s="2" t="s">
        <v>1145</v>
      </c>
      <c r="O548" s="2">
        <v>100.0</v>
      </c>
      <c r="P548" s="2" t="s">
        <v>1146</v>
      </c>
      <c r="Q548" s="2" t="s">
        <v>1147</v>
      </c>
      <c r="AI548" s="2" t="str">
        <f t="shared" si="10"/>
        <v/>
      </c>
      <c r="AJ548" s="2" t="s">
        <v>49</v>
      </c>
      <c r="AK548" s="2" t="s">
        <v>50</v>
      </c>
    </row>
    <row r="549" ht="15.75" customHeight="1">
      <c r="A549" s="2" t="s">
        <v>39</v>
      </c>
      <c r="B549" s="3" t="str">
        <f>HYPERLINK("https://www.senado.gob.ar/parlamentario/comisiones/verExp/361.25/S/PL","361")</f>
        <v>361</v>
      </c>
      <c r="C549" s="3" t="str">
        <f>HYPERLINK("https://www.senado.gob.ar/parlamentario/comisiones/verExp/361.25/S/PL","2025")</f>
        <v>2025</v>
      </c>
      <c r="D549" s="2" t="s">
        <v>56</v>
      </c>
      <c r="E549" s="2" t="s">
        <v>1177</v>
      </c>
      <c r="F549" s="2" t="s">
        <v>1154</v>
      </c>
      <c r="I549" s="2" t="s">
        <v>1178</v>
      </c>
      <c r="K549" s="2" t="s">
        <v>44</v>
      </c>
      <c r="L549" s="2" t="s">
        <v>1118</v>
      </c>
      <c r="N549" s="2" t="s">
        <v>1179</v>
      </c>
      <c r="O549" s="2">
        <v>67.0</v>
      </c>
      <c r="P549" s="2" t="s">
        <v>84</v>
      </c>
      <c r="Q549" s="2" t="s">
        <v>1123</v>
      </c>
      <c r="S549" s="2">
        <v>54.0</v>
      </c>
      <c r="T549" s="2" t="s">
        <v>65</v>
      </c>
      <c r="U549" s="2" t="s">
        <v>1120</v>
      </c>
      <c r="AI549" s="2" t="str">
        <f t="shared" si="10"/>
        <v/>
      </c>
      <c r="AJ549" s="2" t="s">
        <v>49</v>
      </c>
      <c r="AK549" s="2" t="s">
        <v>50</v>
      </c>
    </row>
    <row r="550" ht="15.75" customHeight="1">
      <c r="A550" s="2" t="s">
        <v>1141</v>
      </c>
      <c r="B550" s="3" t="str">
        <f>HYPERLINK("https://www.senado.gob.ar/parlamentario/comisiones/verExp/360.25/OV/CV","360")</f>
        <v>360</v>
      </c>
      <c r="C550" s="3" t="str">
        <f>HYPERLINK("https://www.senado.gob.ar/parlamentario/comisiones/verExp/360.25/OV/CV","2025")</f>
        <v>2025</v>
      </c>
      <c r="D550" s="2" t="s">
        <v>1142</v>
      </c>
      <c r="E550" s="2" t="s">
        <v>1180</v>
      </c>
      <c r="F550" s="2" t="s">
        <v>340</v>
      </c>
      <c r="I550" s="2" t="s">
        <v>1144</v>
      </c>
      <c r="K550" s="2" t="s">
        <v>44</v>
      </c>
      <c r="L550" s="2" t="s">
        <v>1145</v>
      </c>
      <c r="O550" s="2">
        <v>100.0</v>
      </c>
      <c r="P550" s="2" t="s">
        <v>1146</v>
      </c>
      <c r="Q550" s="2" t="s">
        <v>1147</v>
      </c>
      <c r="AI550" s="2" t="str">
        <f t="shared" si="10"/>
        <v/>
      </c>
      <c r="AJ550" s="2" t="s">
        <v>49</v>
      </c>
      <c r="AK550" s="2" t="s">
        <v>50</v>
      </c>
    </row>
    <row r="551" ht="15.75" customHeight="1">
      <c r="A551" s="2" t="s">
        <v>1141</v>
      </c>
      <c r="B551" s="3" t="str">
        <f>HYPERLINK("https://www.senado.gob.ar/parlamentario/comisiones/verExp/359.25/OV/CV","359")</f>
        <v>359</v>
      </c>
      <c r="C551" s="3" t="str">
        <f>HYPERLINK("https://www.senado.gob.ar/parlamentario/comisiones/verExp/359.25/OV/CV","2025")</f>
        <v>2025</v>
      </c>
      <c r="D551" s="2" t="s">
        <v>1142</v>
      </c>
      <c r="E551" s="2" t="s">
        <v>1181</v>
      </c>
      <c r="F551" s="2" t="s">
        <v>340</v>
      </c>
      <c r="I551" s="2" t="s">
        <v>1144</v>
      </c>
      <c r="K551" s="2" t="s">
        <v>44</v>
      </c>
      <c r="L551" s="2" t="s">
        <v>1145</v>
      </c>
      <c r="O551" s="2">
        <v>100.0</v>
      </c>
      <c r="P551" s="2" t="s">
        <v>1146</v>
      </c>
      <c r="Q551" s="2" t="s">
        <v>1147</v>
      </c>
      <c r="AI551" s="2" t="str">
        <f t="shared" si="10"/>
        <v/>
      </c>
      <c r="AJ551" s="2" t="s">
        <v>49</v>
      </c>
      <c r="AK551" s="2" t="s">
        <v>50</v>
      </c>
    </row>
    <row r="552" ht="15.75" customHeight="1">
      <c r="A552" s="2" t="s">
        <v>1141</v>
      </c>
      <c r="B552" s="3" t="str">
        <f>HYPERLINK("https://www.senado.gob.ar/parlamentario/comisiones/verExp/358.25/OV/CV","358")</f>
        <v>358</v>
      </c>
      <c r="C552" s="3" t="str">
        <f>HYPERLINK("https://www.senado.gob.ar/parlamentario/comisiones/verExp/358.25/OV/CV","2025")</f>
        <v>2025</v>
      </c>
      <c r="D552" s="2" t="s">
        <v>1142</v>
      </c>
      <c r="E552" s="2" t="s">
        <v>1182</v>
      </c>
      <c r="F552" s="2" t="s">
        <v>340</v>
      </c>
      <c r="I552" s="2" t="s">
        <v>1144</v>
      </c>
      <c r="K552" s="2" t="s">
        <v>44</v>
      </c>
      <c r="L552" s="2" t="s">
        <v>1145</v>
      </c>
      <c r="O552" s="2">
        <v>100.0</v>
      </c>
      <c r="P552" s="2" t="s">
        <v>1146</v>
      </c>
      <c r="Q552" s="2" t="s">
        <v>1147</v>
      </c>
      <c r="AI552" s="2" t="str">
        <f t="shared" si="10"/>
        <v/>
      </c>
      <c r="AJ552" s="2" t="s">
        <v>49</v>
      </c>
      <c r="AK552" s="2" t="s">
        <v>50</v>
      </c>
    </row>
    <row r="553" ht="15.75" customHeight="1">
      <c r="A553" s="2" t="s">
        <v>1141</v>
      </c>
      <c r="B553" s="3" t="str">
        <f>HYPERLINK("https://www.senado.gob.ar/parlamentario/comisiones/verExp/357.25/OV/CV","357")</f>
        <v>357</v>
      </c>
      <c r="C553" s="3" t="str">
        <f>HYPERLINK("https://www.senado.gob.ar/parlamentario/comisiones/verExp/357.25/OV/CV","2025")</f>
        <v>2025</v>
      </c>
      <c r="D553" s="2" t="s">
        <v>1142</v>
      </c>
      <c r="E553" s="2" t="s">
        <v>1183</v>
      </c>
      <c r="F553" s="2" t="s">
        <v>340</v>
      </c>
      <c r="I553" s="2" t="s">
        <v>1144</v>
      </c>
      <c r="K553" s="2" t="s">
        <v>44</v>
      </c>
      <c r="L553" s="2" t="s">
        <v>1145</v>
      </c>
      <c r="O553" s="2">
        <v>100.0</v>
      </c>
      <c r="P553" s="2" t="s">
        <v>1146</v>
      </c>
      <c r="Q553" s="2" t="s">
        <v>1147</v>
      </c>
      <c r="AI553" s="2" t="str">
        <f t="shared" si="10"/>
        <v/>
      </c>
      <c r="AJ553" s="2" t="s">
        <v>49</v>
      </c>
      <c r="AK553" s="2" t="s">
        <v>50</v>
      </c>
    </row>
    <row r="554" ht="15.75" customHeight="1">
      <c r="A554" s="2" t="s">
        <v>1141</v>
      </c>
      <c r="B554" s="3" t="str">
        <f>HYPERLINK("https://www.senado.gob.ar/parlamentario/comisiones/verExp/356.25/OV/CV","356")</f>
        <v>356</v>
      </c>
      <c r="C554" s="3" t="str">
        <f>HYPERLINK("https://www.senado.gob.ar/parlamentario/comisiones/verExp/356.25/OV/CV","2025")</f>
        <v>2025</v>
      </c>
      <c r="D554" s="2" t="s">
        <v>1142</v>
      </c>
      <c r="E554" s="2" t="s">
        <v>1184</v>
      </c>
      <c r="F554" s="2" t="s">
        <v>340</v>
      </c>
      <c r="I554" s="2" t="s">
        <v>1144</v>
      </c>
      <c r="K554" s="2" t="s">
        <v>44</v>
      </c>
      <c r="L554" s="2" t="s">
        <v>1145</v>
      </c>
      <c r="O554" s="2">
        <v>100.0</v>
      </c>
      <c r="P554" s="2" t="s">
        <v>1146</v>
      </c>
      <c r="Q554" s="2" t="s">
        <v>1147</v>
      </c>
      <c r="AI554" s="2" t="str">
        <f t="shared" si="10"/>
        <v/>
      </c>
      <c r="AJ554" s="2" t="s">
        <v>49</v>
      </c>
      <c r="AK554" s="2" t="s">
        <v>50</v>
      </c>
    </row>
    <row r="555" ht="15.75" customHeight="1">
      <c r="A555" s="2" t="s">
        <v>1141</v>
      </c>
      <c r="B555" s="3" t="str">
        <f>HYPERLINK("https://www.senado.gob.ar/parlamentario/comisiones/verExp/355.25/OV/CV","355")</f>
        <v>355</v>
      </c>
      <c r="C555" s="3" t="str">
        <f>HYPERLINK("https://www.senado.gob.ar/parlamentario/comisiones/verExp/355.25/OV/CV","2025")</f>
        <v>2025</v>
      </c>
      <c r="D555" s="2" t="s">
        <v>1142</v>
      </c>
      <c r="E555" s="2" t="s">
        <v>1185</v>
      </c>
      <c r="F555" s="2" t="s">
        <v>340</v>
      </c>
      <c r="I555" s="2" t="s">
        <v>1144</v>
      </c>
      <c r="K555" s="2" t="s">
        <v>44</v>
      </c>
      <c r="L555" s="2" t="s">
        <v>1145</v>
      </c>
      <c r="O555" s="2">
        <v>100.0</v>
      </c>
      <c r="P555" s="2" t="s">
        <v>1146</v>
      </c>
      <c r="Q555" s="2" t="s">
        <v>1147</v>
      </c>
      <c r="AI555" s="2" t="str">
        <f t="shared" si="10"/>
        <v/>
      </c>
      <c r="AJ555" s="2" t="s">
        <v>49</v>
      </c>
      <c r="AK555" s="2" t="s">
        <v>50</v>
      </c>
    </row>
    <row r="556" ht="15.75" customHeight="1">
      <c r="A556" s="2" t="s">
        <v>1141</v>
      </c>
      <c r="B556" s="3" t="str">
        <f>HYPERLINK("https://www.senado.gob.ar/parlamentario/comisiones/verExp/354.25/OV/CV","354")</f>
        <v>354</v>
      </c>
      <c r="C556" s="3" t="str">
        <f>HYPERLINK("https://www.senado.gob.ar/parlamentario/comisiones/verExp/354.25/OV/CV","2025")</f>
        <v>2025</v>
      </c>
      <c r="D556" s="2" t="s">
        <v>1142</v>
      </c>
      <c r="E556" s="2" t="s">
        <v>1186</v>
      </c>
      <c r="F556" s="2" t="s">
        <v>340</v>
      </c>
      <c r="I556" s="2" t="s">
        <v>1144</v>
      </c>
      <c r="K556" s="2" t="s">
        <v>44</v>
      </c>
      <c r="L556" s="2" t="s">
        <v>1145</v>
      </c>
      <c r="O556" s="2">
        <v>100.0</v>
      </c>
      <c r="P556" s="2" t="s">
        <v>1146</v>
      </c>
      <c r="Q556" s="2" t="s">
        <v>1147</v>
      </c>
      <c r="AI556" s="2" t="str">
        <f t="shared" si="10"/>
        <v/>
      </c>
      <c r="AJ556" s="2" t="s">
        <v>49</v>
      </c>
      <c r="AK556" s="2" t="s">
        <v>50</v>
      </c>
    </row>
    <row r="557" ht="15.75" customHeight="1">
      <c r="A557" s="2" t="s">
        <v>1141</v>
      </c>
      <c r="B557" s="3" t="str">
        <f>HYPERLINK("https://www.senado.gob.ar/parlamentario/comisiones/verExp/353.25/OV/CV","353")</f>
        <v>353</v>
      </c>
      <c r="C557" s="3" t="str">
        <f>HYPERLINK("https://www.senado.gob.ar/parlamentario/comisiones/verExp/353.25/OV/CV","2025")</f>
        <v>2025</v>
      </c>
      <c r="D557" s="2" t="s">
        <v>1142</v>
      </c>
      <c r="E557" s="2" t="s">
        <v>1187</v>
      </c>
      <c r="F557" s="2" t="s">
        <v>340</v>
      </c>
      <c r="I557" s="2" t="s">
        <v>1144</v>
      </c>
      <c r="K557" s="2" t="s">
        <v>44</v>
      </c>
      <c r="L557" s="2" t="s">
        <v>1145</v>
      </c>
      <c r="O557" s="2">
        <v>100.0</v>
      </c>
      <c r="P557" s="2" t="s">
        <v>1146</v>
      </c>
      <c r="Q557" s="2" t="s">
        <v>1147</v>
      </c>
      <c r="AI557" s="2" t="str">
        <f t="shared" si="10"/>
        <v/>
      </c>
      <c r="AJ557" s="2" t="s">
        <v>49</v>
      </c>
      <c r="AK557" s="2" t="s">
        <v>50</v>
      </c>
    </row>
    <row r="558" ht="15.75" customHeight="1">
      <c r="A558" s="2" t="s">
        <v>1141</v>
      </c>
      <c r="B558" s="3" t="str">
        <f>HYPERLINK("https://www.senado.gob.ar/parlamentario/comisiones/verExp/352.25/OV/CV","352")</f>
        <v>352</v>
      </c>
      <c r="C558" s="3" t="str">
        <f>HYPERLINK("https://www.senado.gob.ar/parlamentario/comisiones/verExp/352.25/OV/CV","2025")</f>
        <v>2025</v>
      </c>
      <c r="D558" s="2" t="s">
        <v>1142</v>
      </c>
      <c r="E558" s="2" t="s">
        <v>1188</v>
      </c>
      <c r="F558" s="2" t="s">
        <v>340</v>
      </c>
      <c r="I558" s="2" t="s">
        <v>1144</v>
      </c>
      <c r="K558" s="2" t="s">
        <v>44</v>
      </c>
      <c r="L558" s="2" t="s">
        <v>1145</v>
      </c>
      <c r="O558" s="2">
        <v>100.0</v>
      </c>
      <c r="P558" s="2" t="s">
        <v>1146</v>
      </c>
      <c r="Q558" s="2" t="s">
        <v>1147</v>
      </c>
      <c r="AI558" s="2" t="str">
        <f t="shared" si="10"/>
        <v/>
      </c>
      <c r="AJ558" s="2" t="s">
        <v>49</v>
      </c>
      <c r="AK558" s="2" t="s">
        <v>50</v>
      </c>
    </row>
    <row r="559" ht="15.75" customHeight="1">
      <c r="A559" s="2" t="s">
        <v>1141</v>
      </c>
      <c r="B559" s="3" t="str">
        <f>HYPERLINK("https://www.senado.gob.ar/parlamentario/comisiones/verExp/351.25/OV/CV","351")</f>
        <v>351</v>
      </c>
      <c r="C559" s="3" t="str">
        <f>HYPERLINK("https://www.senado.gob.ar/parlamentario/comisiones/verExp/351.25/OV/CV","2025")</f>
        <v>2025</v>
      </c>
      <c r="D559" s="2" t="s">
        <v>1142</v>
      </c>
      <c r="E559" s="2" t="s">
        <v>1189</v>
      </c>
      <c r="F559" s="2" t="s">
        <v>340</v>
      </c>
      <c r="I559" s="2" t="s">
        <v>1144</v>
      </c>
      <c r="K559" s="2" t="s">
        <v>44</v>
      </c>
      <c r="L559" s="2" t="s">
        <v>1145</v>
      </c>
      <c r="O559" s="2">
        <v>100.0</v>
      </c>
      <c r="P559" s="2" t="s">
        <v>1146</v>
      </c>
      <c r="Q559" s="2" t="s">
        <v>1147</v>
      </c>
      <c r="AI559" s="2" t="str">
        <f t="shared" si="10"/>
        <v/>
      </c>
      <c r="AJ559" s="2" t="s">
        <v>49</v>
      </c>
      <c r="AK559" s="2" t="s">
        <v>50</v>
      </c>
    </row>
    <row r="560" ht="15.75" customHeight="1">
      <c r="A560" s="2" t="s">
        <v>39</v>
      </c>
      <c r="B560" s="3" t="str">
        <f>HYPERLINK("https://www.senado.gob.ar/parlamentario/comisiones/verExp/351.25/S/PL","351")</f>
        <v>351</v>
      </c>
      <c r="C560" s="3" t="str">
        <f>HYPERLINK("https://www.senado.gob.ar/parlamentario/comisiones/verExp/351.25/S/PL","2025")</f>
        <v>2025</v>
      </c>
      <c r="D560" s="2" t="s">
        <v>56</v>
      </c>
      <c r="E560" s="2" t="s">
        <v>1190</v>
      </c>
      <c r="F560" s="2" t="s">
        <v>1191</v>
      </c>
      <c r="I560" s="2" t="s">
        <v>1178</v>
      </c>
      <c r="K560" s="2" t="s">
        <v>1192</v>
      </c>
      <c r="L560" s="2" t="s">
        <v>1193</v>
      </c>
      <c r="N560" s="2" t="s">
        <v>1194</v>
      </c>
      <c r="O560" s="2">
        <v>78.0</v>
      </c>
      <c r="P560" s="2" t="s">
        <v>73</v>
      </c>
      <c r="Q560" s="2" t="s">
        <v>1120</v>
      </c>
      <c r="R560" s="2" t="s">
        <v>1195</v>
      </c>
      <c r="S560" s="2">
        <v>78.0</v>
      </c>
      <c r="T560" s="2" t="s">
        <v>73</v>
      </c>
      <c r="U560" s="2" t="s">
        <v>659</v>
      </c>
      <c r="AI560" s="3" t="str">
        <f>HYPERLINK("https://www.senado.gob.ar/parlamentario/parlamentaria/ordenDelDiaResultadoLink/2025/527"," 527 2025 RB -")</f>
        <v> 527 2025 RB -</v>
      </c>
      <c r="AJ560" s="2" t="s">
        <v>49</v>
      </c>
      <c r="AK560" s="2" t="s">
        <v>50</v>
      </c>
    </row>
    <row r="561" ht="15.75" customHeight="1">
      <c r="A561" s="2" t="s">
        <v>1141</v>
      </c>
      <c r="B561" s="3" t="str">
        <f>HYPERLINK("https://www.senado.gob.ar/parlamentario/comisiones/verExp/350.25/OV/CV","350")</f>
        <v>350</v>
      </c>
      <c r="C561" s="3" t="str">
        <f>HYPERLINK("https://www.senado.gob.ar/parlamentario/comisiones/verExp/350.25/OV/CV","2025")</f>
        <v>2025</v>
      </c>
      <c r="D561" s="2" t="s">
        <v>1142</v>
      </c>
      <c r="E561" s="2" t="s">
        <v>1196</v>
      </c>
      <c r="F561" s="2" t="s">
        <v>340</v>
      </c>
      <c r="I561" s="2" t="s">
        <v>1144</v>
      </c>
      <c r="K561" s="2" t="s">
        <v>44</v>
      </c>
      <c r="L561" s="2" t="s">
        <v>1145</v>
      </c>
      <c r="O561" s="2">
        <v>100.0</v>
      </c>
      <c r="P561" s="2" t="s">
        <v>1146</v>
      </c>
      <c r="Q561" s="2" t="s">
        <v>1147</v>
      </c>
      <c r="AI561" s="2" t="str">
        <f t="shared" ref="AI561:AI590" si="11">HYPERLINK("","")</f>
        <v/>
      </c>
      <c r="AJ561" s="2" t="s">
        <v>49</v>
      </c>
      <c r="AK561" s="2" t="s">
        <v>50</v>
      </c>
    </row>
    <row r="562" ht="15.75" customHeight="1">
      <c r="A562" s="2" t="s">
        <v>1141</v>
      </c>
      <c r="B562" s="3" t="str">
        <f>HYPERLINK("https://www.senado.gob.ar/parlamentario/comisiones/verExp/349.25/OV/CV","349")</f>
        <v>349</v>
      </c>
      <c r="C562" s="3" t="str">
        <f>HYPERLINK("https://www.senado.gob.ar/parlamentario/comisiones/verExp/349.25/OV/CV","2025")</f>
        <v>2025</v>
      </c>
      <c r="D562" s="2" t="s">
        <v>1142</v>
      </c>
      <c r="E562" s="2" t="s">
        <v>1197</v>
      </c>
      <c r="F562" s="2" t="s">
        <v>340</v>
      </c>
      <c r="I562" s="2" t="s">
        <v>1144</v>
      </c>
      <c r="K562" s="2" t="s">
        <v>44</v>
      </c>
      <c r="L562" s="2" t="s">
        <v>1145</v>
      </c>
      <c r="O562" s="2">
        <v>100.0</v>
      </c>
      <c r="P562" s="2" t="s">
        <v>1146</v>
      </c>
      <c r="Q562" s="2" t="s">
        <v>1147</v>
      </c>
      <c r="AI562" s="2" t="str">
        <f t="shared" si="11"/>
        <v/>
      </c>
      <c r="AJ562" s="2" t="s">
        <v>49</v>
      </c>
      <c r="AK562" s="2" t="s">
        <v>50</v>
      </c>
    </row>
    <row r="563" ht="15.75" customHeight="1">
      <c r="A563" s="2" t="s">
        <v>39</v>
      </c>
      <c r="B563" s="3" t="str">
        <f>HYPERLINK("https://www.senado.gob.ar/parlamentario/comisiones/verExp/349.25/S/PL","349")</f>
        <v>349</v>
      </c>
      <c r="C563" s="3" t="str">
        <f>HYPERLINK("https://www.senado.gob.ar/parlamentario/comisiones/verExp/349.25/S/PL","2025")</f>
        <v>2025</v>
      </c>
      <c r="D563" s="2" t="s">
        <v>56</v>
      </c>
      <c r="E563" s="2" t="s">
        <v>1198</v>
      </c>
      <c r="F563" s="2" t="s">
        <v>1191</v>
      </c>
      <c r="I563" s="2" t="s">
        <v>1199</v>
      </c>
      <c r="K563" s="2" t="s">
        <v>44</v>
      </c>
      <c r="L563" s="2" t="s">
        <v>1118</v>
      </c>
      <c r="M563" s="2" t="s">
        <v>431</v>
      </c>
      <c r="N563" s="2" t="s">
        <v>1200</v>
      </c>
      <c r="O563" s="2">
        <v>54.0</v>
      </c>
      <c r="P563" s="2" t="s">
        <v>65</v>
      </c>
      <c r="Q563" s="2" t="s">
        <v>1120</v>
      </c>
      <c r="AI563" s="2" t="str">
        <f t="shared" si="11"/>
        <v/>
      </c>
      <c r="AJ563" s="2" t="s">
        <v>49</v>
      </c>
      <c r="AK563" s="2" t="s">
        <v>50</v>
      </c>
    </row>
    <row r="564" ht="15.75" customHeight="1">
      <c r="A564" s="2" t="s">
        <v>1141</v>
      </c>
      <c r="B564" s="3" t="str">
        <f>HYPERLINK("https://www.senado.gob.ar/parlamentario/comisiones/verExp/348.25/OV/CV","348")</f>
        <v>348</v>
      </c>
      <c r="C564" s="3" t="str">
        <f>HYPERLINK("https://www.senado.gob.ar/parlamentario/comisiones/verExp/348.25/OV/CV","2025")</f>
        <v>2025</v>
      </c>
      <c r="D564" s="2" t="s">
        <v>1142</v>
      </c>
      <c r="E564" s="2" t="s">
        <v>1201</v>
      </c>
      <c r="F564" s="2" t="s">
        <v>340</v>
      </c>
      <c r="I564" s="2" t="s">
        <v>1144</v>
      </c>
      <c r="K564" s="2" t="s">
        <v>44</v>
      </c>
      <c r="L564" s="2" t="s">
        <v>1145</v>
      </c>
      <c r="O564" s="2">
        <v>100.0</v>
      </c>
      <c r="P564" s="2" t="s">
        <v>1146</v>
      </c>
      <c r="Q564" s="2" t="s">
        <v>1147</v>
      </c>
      <c r="AI564" s="2" t="str">
        <f t="shared" si="11"/>
        <v/>
      </c>
      <c r="AJ564" s="2" t="s">
        <v>49</v>
      </c>
      <c r="AK564" s="2" t="s">
        <v>50</v>
      </c>
    </row>
    <row r="565" ht="15.75" customHeight="1">
      <c r="A565" s="2" t="s">
        <v>1141</v>
      </c>
      <c r="B565" s="3" t="str">
        <f>HYPERLINK("https://www.senado.gob.ar/parlamentario/comisiones/verExp/347.25/OV/CV","347")</f>
        <v>347</v>
      </c>
      <c r="C565" s="3" t="str">
        <f>HYPERLINK("https://www.senado.gob.ar/parlamentario/comisiones/verExp/347.25/OV/CV","2025")</f>
        <v>2025</v>
      </c>
      <c r="D565" s="2" t="s">
        <v>1142</v>
      </c>
      <c r="E565" s="2" t="s">
        <v>1202</v>
      </c>
      <c r="F565" s="2" t="s">
        <v>340</v>
      </c>
      <c r="I565" s="2" t="s">
        <v>1144</v>
      </c>
      <c r="K565" s="2" t="s">
        <v>44</v>
      </c>
      <c r="L565" s="2" t="s">
        <v>1145</v>
      </c>
      <c r="O565" s="2">
        <v>100.0</v>
      </c>
      <c r="P565" s="2" t="s">
        <v>1146</v>
      </c>
      <c r="Q565" s="2" t="s">
        <v>1147</v>
      </c>
      <c r="AI565" s="2" t="str">
        <f t="shared" si="11"/>
        <v/>
      </c>
      <c r="AJ565" s="2" t="s">
        <v>49</v>
      </c>
      <c r="AK565" s="2" t="s">
        <v>50</v>
      </c>
    </row>
    <row r="566" ht="15.75" customHeight="1">
      <c r="A566" s="2" t="s">
        <v>39</v>
      </c>
      <c r="B566" s="3" t="str">
        <f>HYPERLINK("https://www.senado.gob.ar/parlamentario/comisiones/verExp/347.25/S/PL","347")</f>
        <v>347</v>
      </c>
      <c r="C566" s="3" t="str">
        <f>HYPERLINK("https://www.senado.gob.ar/parlamentario/comisiones/verExp/347.25/S/PL","2025")</f>
        <v>2025</v>
      </c>
      <c r="D566" s="2" t="s">
        <v>56</v>
      </c>
      <c r="E566" s="2" t="s">
        <v>1203</v>
      </c>
      <c r="F566" s="2" t="s">
        <v>1191</v>
      </c>
      <c r="I566" s="2" t="s">
        <v>1199</v>
      </c>
      <c r="K566" s="2" t="s">
        <v>44</v>
      </c>
      <c r="L566" s="2" t="s">
        <v>1118</v>
      </c>
      <c r="N566" s="2" t="s">
        <v>1071</v>
      </c>
      <c r="O566" s="2">
        <v>75.0</v>
      </c>
      <c r="P566" s="2" t="s">
        <v>71</v>
      </c>
      <c r="Q566" s="2" t="s">
        <v>1120</v>
      </c>
      <c r="AI566" s="2" t="str">
        <f t="shared" si="11"/>
        <v/>
      </c>
      <c r="AJ566" s="2" t="s">
        <v>49</v>
      </c>
      <c r="AK566" s="2" t="s">
        <v>50</v>
      </c>
    </row>
    <row r="567" ht="15.75" customHeight="1">
      <c r="A567" s="2" t="s">
        <v>1141</v>
      </c>
      <c r="B567" s="3" t="str">
        <f>HYPERLINK("https://www.senado.gob.ar/parlamentario/comisiones/verExp/346.25/OV/CV","346")</f>
        <v>346</v>
      </c>
      <c r="C567" s="3" t="str">
        <f>HYPERLINK("https://www.senado.gob.ar/parlamentario/comisiones/verExp/346.25/OV/CV","2025")</f>
        <v>2025</v>
      </c>
      <c r="D567" s="2" t="s">
        <v>1142</v>
      </c>
      <c r="E567" s="2" t="s">
        <v>1204</v>
      </c>
      <c r="F567" s="2" t="s">
        <v>340</v>
      </c>
      <c r="I567" s="2" t="s">
        <v>1144</v>
      </c>
      <c r="K567" s="2" t="s">
        <v>44</v>
      </c>
      <c r="L567" s="2" t="s">
        <v>1145</v>
      </c>
      <c r="O567" s="2">
        <v>100.0</v>
      </c>
      <c r="P567" s="2" t="s">
        <v>1146</v>
      </c>
      <c r="Q567" s="2" t="s">
        <v>1147</v>
      </c>
      <c r="AI567" s="2" t="str">
        <f t="shared" si="11"/>
        <v/>
      </c>
      <c r="AJ567" s="2" t="s">
        <v>49</v>
      </c>
      <c r="AK567" s="2" t="s">
        <v>50</v>
      </c>
    </row>
    <row r="568" ht="15.75" customHeight="1">
      <c r="A568" s="2" t="s">
        <v>1141</v>
      </c>
      <c r="B568" s="3" t="str">
        <f>HYPERLINK("https://www.senado.gob.ar/parlamentario/comisiones/verExp/345.25/OV/CV","345")</f>
        <v>345</v>
      </c>
      <c r="C568" s="3" t="str">
        <f>HYPERLINK("https://www.senado.gob.ar/parlamentario/comisiones/verExp/345.25/OV/CV","2025")</f>
        <v>2025</v>
      </c>
      <c r="D568" s="2" t="s">
        <v>1142</v>
      </c>
      <c r="E568" s="2" t="s">
        <v>1205</v>
      </c>
      <c r="F568" s="2" t="s">
        <v>340</v>
      </c>
      <c r="I568" s="2" t="s">
        <v>1144</v>
      </c>
      <c r="K568" s="2" t="s">
        <v>44</v>
      </c>
      <c r="L568" s="2" t="s">
        <v>1145</v>
      </c>
      <c r="O568" s="2">
        <v>100.0</v>
      </c>
      <c r="P568" s="2" t="s">
        <v>1146</v>
      </c>
      <c r="Q568" s="2" t="s">
        <v>1147</v>
      </c>
      <c r="AI568" s="2" t="str">
        <f t="shared" si="11"/>
        <v/>
      </c>
      <c r="AJ568" s="2" t="s">
        <v>49</v>
      </c>
      <c r="AK568" s="2" t="s">
        <v>50</v>
      </c>
    </row>
    <row r="569" ht="15.75" customHeight="1">
      <c r="A569" s="2" t="s">
        <v>1141</v>
      </c>
      <c r="B569" s="3" t="str">
        <f>HYPERLINK("https://www.senado.gob.ar/parlamentario/comisiones/verExp/344.25/OV/CV","344")</f>
        <v>344</v>
      </c>
      <c r="C569" s="3" t="str">
        <f>HYPERLINK("https://www.senado.gob.ar/parlamentario/comisiones/verExp/344.25/OV/CV","2025")</f>
        <v>2025</v>
      </c>
      <c r="D569" s="2" t="s">
        <v>1142</v>
      </c>
      <c r="E569" s="2" t="s">
        <v>1206</v>
      </c>
      <c r="F569" s="2" t="s">
        <v>340</v>
      </c>
      <c r="I569" s="2" t="s">
        <v>1144</v>
      </c>
      <c r="K569" s="2" t="s">
        <v>44</v>
      </c>
      <c r="L569" s="2" t="s">
        <v>1145</v>
      </c>
      <c r="O569" s="2">
        <v>100.0</v>
      </c>
      <c r="P569" s="2" t="s">
        <v>1146</v>
      </c>
      <c r="Q569" s="2" t="s">
        <v>1147</v>
      </c>
      <c r="AI569" s="2" t="str">
        <f t="shared" si="11"/>
        <v/>
      </c>
      <c r="AJ569" s="2" t="s">
        <v>49</v>
      </c>
      <c r="AK569" s="2" t="s">
        <v>50</v>
      </c>
    </row>
    <row r="570" ht="15.75" customHeight="1">
      <c r="A570" s="2" t="s">
        <v>1141</v>
      </c>
      <c r="B570" s="3" t="str">
        <f>HYPERLINK("https://www.senado.gob.ar/parlamentario/comisiones/verExp/343.25/OV/CV","343")</f>
        <v>343</v>
      </c>
      <c r="C570" s="3" t="str">
        <f>HYPERLINK("https://www.senado.gob.ar/parlamentario/comisiones/verExp/343.25/OV/CV","2025")</f>
        <v>2025</v>
      </c>
      <c r="D570" s="2" t="s">
        <v>1142</v>
      </c>
      <c r="E570" s="2" t="s">
        <v>1207</v>
      </c>
      <c r="F570" s="2" t="s">
        <v>340</v>
      </c>
      <c r="I570" s="2" t="s">
        <v>1144</v>
      </c>
      <c r="K570" s="2" t="s">
        <v>44</v>
      </c>
      <c r="L570" s="2" t="s">
        <v>1145</v>
      </c>
      <c r="O570" s="2">
        <v>100.0</v>
      </c>
      <c r="P570" s="2" t="s">
        <v>1146</v>
      </c>
      <c r="Q570" s="2" t="s">
        <v>1147</v>
      </c>
      <c r="AI570" s="2" t="str">
        <f t="shared" si="11"/>
        <v/>
      </c>
      <c r="AJ570" s="2" t="s">
        <v>49</v>
      </c>
      <c r="AK570" s="2" t="s">
        <v>50</v>
      </c>
    </row>
    <row r="571" ht="15.75" customHeight="1">
      <c r="A571" s="2" t="s">
        <v>1141</v>
      </c>
      <c r="B571" s="3" t="str">
        <f>HYPERLINK("https://www.senado.gob.ar/parlamentario/comisiones/verExp/342.25/OV/CV","342")</f>
        <v>342</v>
      </c>
      <c r="C571" s="3" t="str">
        <f>HYPERLINK("https://www.senado.gob.ar/parlamentario/comisiones/verExp/342.25/OV/CV","2025")</f>
        <v>2025</v>
      </c>
      <c r="D571" s="2" t="s">
        <v>1142</v>
      </c>
      <c r="E571" s="2" t="s">
        <v>1208</v>
      </c>
      <c r="F571" s="2" t="s">
        <v>340</v>
      </c>
      <c r="I571" s="2" t="s">
        <v>1144</v>
      </c>
      <c r="K571" s="2" t="s">
        <v>44</v>
      </c>
      <c r="L571" s="2" t="s">
        <v>1145</v>
      </c>
      <c r="O571" s="2">
        <v>100.0</v>
      </c>
      <c r="P571" s="2" t="s">
        <v>1146</v>
      </c>
      <c r="Q571" s="2" t="s">
        <v>1147</v>
      </c>
      <c r="AI571" s="2" t="str">
        <f t="shared" si="11"/>
        <v/>
      </c>
      <c r="AJ571" s="2" t="s">
        <v>49</v>
      </c>
      <c r="AK571" s="2" t="s">
        <v>50</v>
      </c>
    </row>
    <row r="572" ht="15.75" customHeight="1">
      <c r="A572" s="2" t="s">
        <v>1141</v>
      </c>
      <c r="B572" s="3" t="str">
        <f>HYPERLINK("https://www.senado.gob.ar/parlamentario/comisiones/verExp/341.25/OV/CV","341")</f>
        <v>341</v>
      </c>
      <c r="C572" s="3" t="str">
        <f>HYPERLINK("https://www.senado.gob.ar/parlamentario/comisiones/verExp/341.25/OV/CV","2025")</f>
        <v>2025</v>
      </c>
      <c r="D572" s="2" t="s">
        <v>1142</v>
      </c>
      <c r="E572" s="2" t="s">
        <v>1209</v>
      </c>
      <c r="F572" s="2" t="s">
        <v>340</v>
      </c>
      <c r="I572" s="2" t="s">
        <v>1144</v>
      </c>
      <c r="K572" s="2" t="s">
        <v>44</v>
      </c>
      <c r="L572" s="2" t="s">
        <v>1145</v>
      </c>
      <c r="O572" s="2">
        <v>100.0</v>
      </c>
      <c r="P572" s="2" t="s">
        <v>1146</v>
      </c>
      <c r="Q572" s="2" t="s">
        <v>1147</v>
      </c>
      <c r="AI572" s="2" t="str">
        <f t="shared" si="11"/>
        <v/>
      </c>
      <c r="AJ572" s="2" t="s">
        <v>49</v>
      </c>
      <c r="AK572" s="2" t="s">
        <v>50</v>
      </c>
    </row>
    <row r="573" ht="15.75" customHeight="1">
      <c r="A573" s="2" t="s">
        <v>1141</v>
      </c>
      <c r="B573" s="3" t="str">
        <f>HYPERLINK("https://www.senado.gob.ar/parlamentario/comisiones/verExp/340.25/OV/CV","340")</f>
        <v>340</v>
      </c>
      <c r="C573" s="3" t="str">
        <f>HYPERLINK("https://www.senado.gob.ar/parlamentario/comisiones/verExp/340.25/OV/CV","2025")</f>
        <v>2025</v>
      </c>
      <c r="D573" s="2" t="s">
        <v>1142</v>
      </c>
      <c r="E573" s="2" t="s">
        <v>1210</v>
      </c>
      <c r="F573" s="2" t="s">
        <v>340</v>
      </c>
      <c r="I573" s="2" t="s">
        <v>1144</v>
      </c>
      <c r="K573" s="2" t="s">
        <v>44</v>
      </c>
      <c r="L573" s="2" t="s">
        <v>1145</v>
      </c>
      <c r="O573" s="2">
        <v>100.0</v>
      </c>
      <c r="P573" s="2" t="s">
        <v>1146</v>
      </c>
      <c r="Q573" s="2" t="s">
        <v>1147</v>
      </c>
      <c r="AI573" s="2" t="str">
        <f t="shared" si="11"/>
        <v/>
      </c>
      <c r="AJ573" s="2" t="s">
        <v>49</v>
      </c>
      <c r="AK573" s="2" t="s">
        <v>50</v>
      </c>
    </row>
    <row r="574" ht="15.75" customHeight="1">
      <c r="A574" s="2" t="s">
        <v>1141</v>
      </c>
      <c r="B574" s="3" t="str">
        <f>HYPERLINK("https://www.senado.gob.ar/parlamentario/comisiones/verExp/339.25/OV/CV","339")</f>
        <v>339</v>
      </c>
      <c r="C574" s="3" t="str">
        <f>HYPERLINK("https://www.senado.gob.ar/parlamentario/comisiones/verExp/339.25/OV/CV","2025")</f>
        <v>2025</v>
      </c>
      <c r="D574" s="2" t="s">
        <v>1142</v>
      </c>
      <c r="E574" s="2" t="s">
        <v>1211</v>
      </c>
      <c r="F574" s="2" t="s">
        <v>340</v>
      </c>
      <c r="I574" s="2" t="s">
        <v>1144</v>
      </c>
      <c r="K574" s="2" t="s">
        <v>44</v>
      </c>
      <c r="L574" s="2" t="s">
        <v>1145</v>
      </c>
      <c r="O574" s="2">
        <v>100.0</v>
      </c>
      <c r="P574" s="2" t="s">
        <v>1146</v>
      </c>
      <c r="Q574" s="2" t="s">
        <v>1147</v>
      </c>
      <c r="AI574" s="2" t="str">
        <f t="shared" si="11"/>
        <v/>
      </c>
      <c r="AJ574" s="2" t="s">
        <v>49</v>
      </c>
      <c r="AK574" s="2" t="s">
        <v>50</v>
      </c>
    </row>
    <row r="575" ht="15.75" customHeight="1">
      <c r="A575" s="2" t="s">
        <v>1141</v>
      </c>
      <c r="B575" s="3" t="str">
        <f>HYPERLINK("https://www.senado.gob.ar/parlamentario/comisiones/verExp/338.25/OV/CV","338")</f>
        <v>338</v>
      </c>
      <c r="C575" s="3" t="str">
        <f>HYPERLINK("https://www.senado.gob.ar/parlamentario/comisiones/verExp/338.25/OV/CV","2025")</f>
        <v>2025</v>
      </c>
      <c r="D575" s="2" t="s">
        <v>1142</v>
      </c>
      <c r="E575" s="2" t="s">
        <v>1212</v>
      </c>
      <c r="F575" s="2" t="s">
        <v>340</v>
      </c>
      <c r="I575" s="2" t="s">
        <v>1144</v>
      </c>
      <c r="K575" s="2" t="s">
        <v>44</v>
      </c>
      <c r="L575" s="2" t="s">
        <v>1145</v>
      </c>
      <c r="O575" s="2">
        <v>100.0</v>
      </c>
      <c r="P575" s="2" t="s">
        <v>1146</v>
      </c>
      <c r="Q575" s="2" t="s">
        <v>1147</v>
      </c>
      <c r="AI575" s="2" t="str">
        <f t="shared" si="11"/>
        <v/>
      </c>
      <c r="AJ575" s="2" t="s">
        <v>49</v>
      </c>
      <c r="AK575" s="2" t="s">
        <v>50</v>
      </c>
    </row>
    <row r="576" ht="15.75" customHeight="1">
      <c r="A576" s="2" t="s">
        <v>39</v>
      </c>
      <c r="B576" s="3" t="str">
        <f>HYPERLINK("https://www.senado.gob.ar/parlamentario/comisiones/verExp/338.25/S/PL","338")</f>
        <v>338</v>
      </c>
      <c r="C576" s="3" t="str">
        <f>HYPERLINK("https://www.senado.gob.ar/parlamentario/comisiones/verExp/338.25/S/PL","2025")</f>
        <v>2025</v>
      </c>
      <c r="D576" s="2" t="s">
        <v>56</v>
      </c>
      <c r="E576" s="2" t="s">
        <v>1213</v>
      </c>
      <c r="F576" s="2" t="s">
        <v>1214</v>
      </c>
      <c r="I576" s="2" t="s">
        <v>1199</v>
      </c>
      <c r="K576" s="2" t="s">
        <v>44</v>
      </c>
      <c r="L576" s="2" t="s">
        <v>1118</v>
      </c>
      <c r="N576" s="2" t="s">
        <v>1215</v>
      </c>
      <c r="O576" s="2">
        <v>75.0</v>
      </c>
      <c r="P576" s="2" t="s">
        <v>71</v>
      </c>
      <c r="Q576" s="2" t="s">
        <v>1120</v>
      </c>
      <c r="S576" s="2">
        <v>54.0</v>
      </c>
      <c r="T576" s="2" t="s">
        <v>65</v>
      </c>
      <c r="U576" s="2" t="s">
        <v>1120</v>
      </c>
      <c r="AI576" s="2" t="str">
        <f t="shared" si="11"/>
        <v/>
      </c>
      <c r="AJ576" s="2" t="s">
        <v>49</v>
      </c>
      <c r="AK576" s="2" t="s">
        <v>50</v>
      </c>
    </row>
    <row r="577" ht="15.75" customHeight="1">
      <c r="A577" s="2" t="s">
        <v>1141</v>
      </c>
      <c r="B577" s="3" t="str">
        <f>HYPERLINK("https://www.senado.gob.ar/parlamentario/comisiones/verExp/337.25/OV/CV","337")</f>
        <v>337</v>
      </c>
      <c r="C577" s="3" t="str">
        <f>HYPERLINK("https://www.senado.gob.ar/parlamentario/comisiones/verExp/337.25/OV/CV","2025")</f>
        <v>2025</v>
      </c>
      <c r="D577" s="2" t="s">
        <v>1142</v>
      </c>
      <c r="E577" s="2" t="s">
        <v>1216</v>
      </c>
      <c r="F577" s="2" t="s">
        <v>340</v>
      </c>
      <c r="I577" s="2" t="s">
        <v>1144</v>
      </c>
      <c r="K577" s="2" t="s">
        <v>44</v>
      </c>
      <c r="L577" s="2" t="s">
        <v>1145</v>
      </c>
      <c r="O577" s="2">
        <v>100.0</v>
      </c>
      <c r="P577" s="2" t="s">
        <v>1146</v>
      </c>
      <c r="Q577" s="2" t="s">
        <v>1147</v>
      </c>
      <c r="AI577" s="2" t="str">
        <f t="shared" si="11"/>
        <v/>
      </c>
      <c r="AJ577" s="2" t="s">
        <v>49</v>
      </c>
      <c r="AK577" s="2" t="s">
        <v>50</v>
      </c>
    </row>
    <row r="578" ht="15.75" customHeight="1">
      <c r="A578" s="2" t="s">
        <v>39</v>
      </c>
      <c r="B578" s="3" t="str">
        <f>HYPERLINK("https://www.senado.gob.ar/parlamentario/comisiones/verExp/335.25/S/PL","335")</f>
        <v>335</v>
      </c>
      <c r="C578" s="3" t="str">
        <f>HYPERLINK("https://www.senado.gob.ar/parlamentario/comisiones/verExp/335.25/S/PL","2025")</f>
        <v>2025</v>
      </c>
      <c r="D578" s="2" t="s">
        <v>56</v>
      </c>
      <c r="E578" s="2" t="s">
        <v>1217</v>
      </c>
      <c r="F578" s="2" t="s">
        <v>1214</v>
      </c>
      <c r="I578" s="2" t="s">
        <v>1218</v>
      </c>
      <c r="K578" s="2" t="s">
        <v>44</v>
      </c>
      <c r="L578" s="2" t="s">
        <v>1118</v>
      </c>
      <c r="N578" s="2" t="s">
        <v>226</v>
      </c>
      <c r="O578" s="2">
        <v>67.0</v>
      </c>
      <c r="P578" s="2" t="s">
        <v>84</v>
      </c>
      <c r="Q578" s="2" t="s">
        <v>1123</v>
      </c>
      <c r="S578" s="2">
        <v>54.0</v>
      </c>
      <c r="T578" s="2" t="s">
        <v>65</v>
      </c>
      <c r="U578" s="2" t="s">
        <v>1120</v>
      </c>
      <c r="AI578" s="2" t="str">
        <f t="shared" si="11"/>
        <v/>
      </c>
      <c r="AJ578" s="2" t="s">
        <v>49</v>
      </c>
      <c r="AK578" s="2" t="s">
        <v>50</v>
      </c>
    </row>
    <row r="579" ht="15.75" customHeight="1">
      <c r="A579" s="2" t="s">
        <v>1141</v>
      </c>
      <c r="B579" s="3" t="str">
        <f>HYPERLINK("https://www.senado.gob.ar/parlamentario/comisiones/verExp/333.25/OV/CA","333")</f>
        <v>333</v>
      </c>
      <c r="C579" s="3" t="str">
        <f>HYPERLINK("https://www.senado.gob.ar/parlamentario/comisiones/verExp/333.25/OV/CA","2025")</f>
        <v>2025</v>
      </c>
      <c r="D579" s="2" t="s">
        <v>1219</v>
      </c>
      <c r="E579" s="2" t="s">
        <v>1220</v>
      </c>
      <c r="F579" s="2" t="s">
        <v>340</v>
      </c>
      <c r="I579" s="2" t="s">
        <v>1221</v>
      </c>
      <c r="K579" s="2" t="s">
        <v>44</v>
      </c>
      <c r="L579" s="2" t="s">
        <v>82</v>
      </c>
      <c r="O579" s="2">
        <v>100.0</v>
      </c>
      <c r="P579" s="2" t="s">
        <v>1146</v>
      </c>
      <c r="Q579" s="2" t="s">
        <v>85</v>
      </c>
      <c r="AI579" s="2" t="str">
        <f t="shared" si="11"/>
        <v/>
      </c>
      <c r="AJ579" s="2" t="s">
        <v>49</v>
      </c>
      <c r="AK579" s="2" t="s">
        <v>50</v>
      </c>
    </row>
    <row r="580" ht="15.75" customHeight="1">
      <c r="A580" s="2" t="s">
        <v>1141</v>
      </c>
      <c r="B580" s="3" t="str">
        <f>HYPERLINK("https://www.senado.gob.ar/parlamentario/comisiones/verExp/332.25/OV/CA","332")</f>
        <v>332</v>
      </c>
      <c r="C580" s="3" t="str">
        <f>HYPERLINK("https://www.senado.gob.ar/parlamentario/comisiones/verExp/332.25/OV/CA","2025")</f>
        <v>2025</v>
      </c>
      <c r="D580" s="2" t="s">
        <v>1219</v>
      </c>
      <c r="E580" s="2" t="s">
        <v>1222</v>
      </c>
      <c r="F580" s="2" t="s">
        <v>340</v>
      </c>
      <c r="I580" s="2" t="s">
        <v>1223</v>
      </c>
      <c r="K580" s="2" t="s">
        <v>44</v>
      </c>
      <c r="L580" s="2" t="s">
        <v>82</v>
      </c>
      <c r="O580" s="2">
        <v>100.0</v>
      </c>
      <c r="P580" s="2" t="s">
        <v>1146</v>
      </c>
      <c r="Q580" s="2" t="s">
        <v>85</v>
      </c>
      <c r="AI580" s="2" t="str">
        <f t="shared" si="11"/>
        <v/>
      </c>
      <c r="AJ580" s="2" t="s">
        <v>49</v>
      </c>
      <c r="AK580" s="2" t="s">
        <v>50</v>
      </c>
    </row>
    <row r="581" ht="15.75" customHeight="1">
      <c r="A581" s="2" t="s">
        <v>1141</v>
      </c>
      <c r="B581" s="3" t="str">
        <f>HYPERLINK("https://www.senado.gob.ar/parlamentario/comisiones/verExp/331.25/OV/CV","331")</f>
        <v>331</v>
      </c>
      <c r="C581" s="3" t="str">
        <f>HYPERLINK("https://www.senado.gob.ar/parlamentario/comisiones/verExp/331.25/OV/CV","2025")</f>
        <v>2025</v>
      </c>
      <c r="D581" s="2" t="s">
        <v>1142</v>
      </c>
      <c r="E581" s="2" t="s">
        <v>1224</v>
      </c>
      <c r="F581" s="2" t="s">
        <v>340</v>
      </c>
      <c r="I581" s="2" t="s">
        <v>102</v>
      </c>
      <c r="K581" s="2" t="s">
        <v>44</v>
      </c>
      <c r="L581" s="2" t="s">
        <v>82</v>
      </c>
      <c r="O581" s="2">
        <v>56.0</v>
      </c>
      <c r="P581" s="2" t="s">
        <v>262</v>
      </c>
      <c r="Q581" s="2" t="s">
        <v>85</v>
      </c>
      <c r="AI581" s="2" t="str">
        <f t="shared" si="11"/>
        <v/>
      </c>
      <c r="AJ581" s="2" t="s">
        <v>49</v>
      </c>
      <c r="AK581" s="2" t="s">
        <v>50</v>
      </c>
    </row>
    <row r="582" ht="15.75" customHeight="1">
      <c r="A582" s="2" t="s">
        <v>1141</v>
      </c>
      <c r="B582" s="3" t="str">
        <f>HYPERLINK("https://www.senado.gob.ar/parlamentario/comisiones/verExp/330.25/OV/CV","330")</f>
        <v>330</v>
      </c>
      <c r="C582" s="3" t="str">
        <f>HYPERLINK("https://www.senado.gob.ar/parlamentario/comisiones/verExp/330.25/OV/CV","2025")</f>
        <v>2025</v>
      </c>
      <c r="D582" s="2" t="s">
        <v>1142</v>
      </c>
      <c r="E582" s="2" t="s">
        <v>1225</v>
      </c>
      <c r="F582" s="2" t="s">
        <v>340</v>
      </c>
      <c r="I582" s="2" t="s">
        <v>102</v>
      </c>
      <c r="K582" s="2" t="s">
        <v>44</v>
      </c>
      <c r="L582" s="2" t="s">
        <v>82</v>
      </c>
      <c r="O582" s="2">
        <v>52.0</v>
      </c>
      <c r="P582" s="2" t="s">
        <v>78</v>
      </c>
      <c r="Q582" s="2" t="s">
        <v>85</v>
      </c>
      <c r="AI582" s="2" t="str">
        <f t="shared" si="11"/>
        <v/>
      </c>
      <c r="AJ582" s="2" t="s">
        <v>49</v>
      </c>
      <c r="AK582" s="2" t="s">
        <v>50</v>
      </c>
    </row>
    <row r="583" ht="15.75" customHeight="1">
      <c r="A583" s="2" t="s">
        <v>39</v>
      </c>
      <c r="B583" s="3" t="str">
        <f>HYPERLINK("https://www.senado.gob.ar/parlamentario/comisiones/verExp/323.25/S/PL","323")</f>
        <v>323</v>
      </c>
      <c r="C583" s="3" t="str">
        <f>HYPERLINK("https://www.senado.gob.ar/parlamentario/comisiones/verExp/323.25/S/PL","2025")</f>
        <v>2025</v>
      </c>
      <c r="D583" s="2" t="s">
        <v>56</v>
      </c>
      <c r="E583" s="2" t="s">
        <v>1226</v>
      </c>
      <c r="F583" s="2" t="s">
        <v>1214</v>
      </c>
      <c r="I583" s="2" t="s">
        <v>1227</v>
      </c>
      <c r="K583" s="2" t="s">
        <v>44</v>
      </c>
      <c r="L583" s="2" t="s">
        <v>1118</v>
      </c>
      <c r="N583" s="2" t="s">
        <v>577</v>
      </c>
      <c r="O583" s="2">
        <v>59.0</v>
      </c>
      <c r="P583" s="2" t="s">
        <v>220</v>
      </c>
      <c r="Q583" s="2" t="s">
        <v>1120</v>
      </c>
      <c r="S583" s="2">
        <v>53.0</v>
      </c>
      <c r="T583" s="2" t="s">
        <v>76</v>
      </c>
      <c r="U583" s="2" t="s">
        <v>1120</v>
      </c>
      <c r="W583" s="2">
        <v>54.0</v>
      </c>
      <c r="X583" s="2" t="s">
        <v>65</v>
      </c>
      <c r="Y583" s="2" t="s">
        <v>1120</v>
      </c>
      <c r="AI583" s="2" t="str">
        <f t="shared" si="11"/>
        <v/>
      </c>
      <c r="AJ583" s="2" t="s">
        <v>49</v>
      </c>
      <c r="AK583" s="2" t="s">
        <v>50</v>
      </c>
    </row>
    <row r="584" ht="15.75" customHeight="1">
      <c r="A584" s="2" t="s">
        <v>39</v>
      </c>
      <c r="B584" s="3" t="str">
        <f>HYPERLINK("https://www.senado.gob.ar/parlamentario/comisiones/verExp/322.25/S/PL","322")</f>
        <v>322</v>
      </c>
      <c r="C584" s="3" t="str">
        <f>HYPERLINK("https://www.senado.gob.ar/parlamentario/comisiones/verExp/322.25/S/PL","2025")</f>
        <v>2025</v>
      </c>
      <c r="D584" s="2" t="s">
        <v>56</v>
      </c>
      <c r="E584" s="2" t="s">
        <v>1228</v>
      </c>
      <c r="F584" s="2" t="s">
        <v>1214</v>
      </c>
      <c r="I584" s="2" t="s">
        <v>1227</v>
      </c>
      <c r="K584" s="2" t="s">
        <v>44</v>
      </c>
      <c r="L584" s="2" t="s">
        <v>1118</v>
      </c>
      <c r="N584" s="2" t="s">
        <v>577</v>
      </c>
      <c r="O584" s="2">
        <v>78.0</v>
      </c>
      <c r="P584" s="2" t="s">
        <v>73</v>
      </c>
      <c r="Q584" s="2" t="s">
        <v>1120</v>
      </c>
      <c r="S584" s="2">
        <v>68.0</v>
      </c>
      <c r="T584" s="2" t="s">
        <v>180</v>
      </c>
      <c r="U584" s="2" t="s">
        <v>1120</v>
      </c>
      <c r="AI584" s="2" t="str">
        <f t="shared" si="11"/>
        <v/>
      </c>
      <c r="AJ584" s="2" t="s">
        <v>49</v>
      </c>
      <c r="AK584" s="2" t="s">
        <v>50</v>
      </c>
    </row>
    <row r="585" ht="15.75" customHeight="1">
      <c r="A585" s="2" t="s">
        <v>39</v>
      </c>
      <c r="B585" s="3" t="str">
        <f>HYPERLINK("https://www.senado.gob.ar/parlamentario/comisiones/verExp/321.25/S/PL","321")</f>
        <v>321</v>
      </c>
      <c r="C585" s="3" t="str">
        <f>HYPERLINK("https://www.senado.gob.ar/parlamentario/comisiones/verExp/321.25/S/PL","2025")</f>
        <v>2025</v>
      </c>
      <c r="D585" s="2" t="s">
        <v>56</v>
      </c>
      <c r="E585" s="2" t="s">
        <v>1229</v>
      </c>
      <c r="F585" s="2" t="s">
        <v>1214</v>
      </c>
      <c r="I585" s="2" t="s">
        <v>1227</v>
      </c>
      <c r="K585" s="2" t="s">
        <v>44</v>
      </c>
      <c r="L585" s="2" t="s">
        <v>1118</v>
      </c>
      <c r="N585" s="2" t="s">
        <v>577</v>
      </c>
      <c r="O585" s="2">
        <v>62.0</v>
      </c>
      <c r="P585" s="2" t="s">
        <v>205</v>
      </c>
      <c r="Q585" s="2" t="s">
        <v>1120</v>
      </c>
      <c r="S585" s="2">
        <v>60.0</v>
      </c>
      <c r="T585" s="2" t="s">
        <v>64</v>
      </c>
      <c r="U585" s="2" t="s">
        <v>1120</v>
      </c>
      <c r="W585" s="2">
        <v>54.0</v>
      </c>
      <c r="X585" s="2" t="s">
        <v>65</v>
      </c>
      <c r="Y585" s="2" t="s">
        <v>1120</v>
      </c>
      <c r="AI585" s="2" t="str">
        <f t="shared" si="11"/>
        <v/>
      </c>
      <c r="AJ585" s="2" t="s">
        <v>49</v>
      </c>
      <c r="AK585" s="2" t="s">
        <v>50</v>
      </c>
    </row>
    <row r="586" ht="15.75" customHeight="1">
      <c r="A586" s="2" t="s">
        <v>39</v>
      </c>
      <c r="B586" s="3" t="str">
        <f>HYPERLINK("https://www.senado.gob.ar/parlamentario/comisiones/verExp/320.25/S/PL","320")</f>
        <v>320</v>
      </c>
      <c r="C586" s="3" t="str">
        <f>HYPERLINK("https://www.senado.gob.ar/parlamentario/comisiones/verExp/320.25/S/PL","2025")</f>
        <v>2025</v>
      </c>
      <c r="D586" s="2" t="s">
        <v>56</v>
      </c>
      <c r="E586" s="2" t="s">
        <v>1230</v>
      </c>
      <c r="F586" s="2" t="s">
        <v>1231</v>
      </c>
      <c r="I586" s="2" t="s">
        <v>1227</v>
      </c>
      <c r="K586" s="2" t="s">
        <v>44</v>
      </c>
      <c r="L586" s="2" t="s">
        <v>1118</v>
      </c>
      <c r="N586" s="2" t="s">
        <v>577</v>
      </c>
      <c r="O586" s="2">
        <v>78.0</v>
      </c>
      <c r="P586" s="2" t="s">
        <v>73</v>
      </c>
      <c r="Q586" s="2" t="s">
        <v>1120</v>
      </c>
      <c r="S586" s="2">
        <v>68.0</v>
      </c>
      <c r="T586" s="2" t="s">
        <v>180</v>
      </c>
      <c r="U586" s="2" t="s">
        <v>1120</v>
      </c>
      <c r="W586" s="2">
        <v>54.0</v>
      </c>
      <c r="X586" s="2" t="s">
        <v>65</v>
      </c>
      <c r="Y586" s="2" t="s">
        <v>1120</v>
      </c>
      <c r="AI586" s="2" t="str">
        <f t="shared" si="11"/>
        <v/>
      </c>
      <c r="AJ586" s="2" t="s">
        <v>49</v>
      </c>
      <c r="AK586" s="2" t="s">
        <v>50</v>
      </c>
    </row>
    <row r="587" ht="15.75" customHeight="1">
      <c r="A587" s="2" t="s">
        <v>39</v>
      </c>
      <c r="B587" s="3" t="str">
        <f>HYPERLINK("https://www.senado.gob.ar/parlamentario/comisiones/verExp/319.25/S/PL","319")</f>
        <v>319</v>
      </c>
      <c r="C587" s="3" t="str">
        <f>HYPERLINK("https://www.senado.gob.ar/parlamentario/comisiones/verExp/319.25/S/PL","2025")</f>
        <v>2025</v>
      </c>
      <c r="D587" s="2" t="s">
        <v>56</v>
      </c>
      <c r="E587" s="2" t="s">
        <v>1232</v>
      </c>
      <c r="F587" s="2" t="s">
        <v>1231</v>
      </c>
      <c r="I587" s="2" t="s">
        <v>1227</v>
      </c>
      <c r="K587" s="2" t="s">
        <v>44</v>
      </c>
      <c r="L587" s="2" t="s">
        <v>1118</v>
      </c>
      <c r="N587" s="2" t="s">
        <v>577</v>
      </c>
      <c r="O587" s="2">
        <v>70.0</v>
      </c>
      <c r="P587" s="2" t="s">
        <v>166</v>
      </c>
      <c r="Q587" s="2" t="s">
        <v>1123</v>
      </c>
      <c r="S587" s="2">
        <v>75.0</v>
      </c>
      <c r="T587" s="2" t="s">
        <v>71</v>
      </c>
      <c r="U587" s="2" t="s">
        <v>1120</v>
      </c>
      <c r="AI587" s="2" t="str">
        <f t="shared" si="11"/>
        <v/>
      </c>
      <c r="AJ587" s="2" t="s">
        <v>49</v>
      </c>
      <c r="AK587" s="2" t="s">
        <v>50</v>
      </c>
    </row>
    <row r="588" ht="15.75" customHeight="1">
      <c r="A588" s="2" t="s">
        <v>1141</v>
      </c>
      <c r="B588" s="3" t="str">
        <f>HYPERLINK("https://www.senado.gob.ar/parlamentario/comisiones/verExp/318.25/OV/CV","318")</f>
        <v>318</v>
      </c>
      <c r="C588" s="3" t="str">
        <f>HYPERLINK("https://www.senado.gob.ar/parlamentario/comisiones/verExp/318.25/OV/CV","2025")</f>
        <v>2025</v>
      </c>
      <c r="D588" s="2" t="s">
        <v>1142</v>
      </c>
      <c r="E588" s="2" t="s">
        <v>1233</v>
      </c>
      <c r="F588" s="2" t="s">
        <v>340</v>
      </c>
      <c r="I588" s="2" t="s">
        <v>1234</v>
      </c>
      <c r="K588" s="2" t="s">
        <v>44</v>
      </c>
      <c r="L588" s="2" t="s">
        <v>1234</v>
      </c>
      <c r="O588" s="2">
        <v>100.0</v>
      </c>
      <c r="P588" s="2" t="s">
        <v>1146</v>
      </c>
      <c r="Q588" s="2" t="s">
        <v>1235</v>
      </c>
      <c r="AI588" s="2" t="str">
        <f t="shared" si="11"/>
        <v/>
      </c>
      <c r="AJ588" s="2" t="s">
        <v>49</v>
      </c>
      <c r="AK588" s="2" t="s">
        <v>50</v>
      </c>
    </row>
    <row r="589" ht="15.75" customHeight="1">
      <c r="A589" s="2" t="s">
        <v>39</v>
      </c>
      <c r="B589" s="3" t="str">
        <f>HYPERLINK("https://www.senado.gob.ar/parlamentario/comisiones/verExp/318.25/S/PL","318")</f>
        <v>318</v>
      </c>
      <c r="C589" s="3" t="str">
        <f>HYPERLINK("https://www.senado.gob.ar/parlamentario/comisiones/verExp/318.25/S/PL","2025")</f>
        <v>2025</v>
      </c>
      <c r="D589" s="2" t="s">
        <v>56</v>
      </c>
      <c r="E589" s="2" t="s">
        <v>1236</v>
      </c>
      <c r="F589" s="2" t="s">
        <v>1231</v>
      </c>
      <c r="I589" s="2" t="s">
        <v>1227</v>
      </c>
      <c r="K589" s="2" t="s">
        <v>44</v>
      </c>
      <c r="L589" s="2" t="s">
        <v>1118</v>
      </c>
      <c r="N589" s="2" t="s">
        <v>577</v>
      </c>
      <c r="O589" s="2">
        <v>75.0</v>
      </c>
      <c r="P589" s="2" t="s">
        <v>71</v>
      </c>
      <c r="Q589" s="2" t="s">
        <v>1120</v>
      </c>
      <c r="S589" s="2">
        <v>54.0</v>
      </c>
      <c r="T589" s="2" t="s">
        <v>65</v>
      </c>
      <c r="U589" s="2" t="s">
        <v>1120</v>
      </c>
      <c r="AI589" s="2" t="str">
        <f t="shared" si="11"/>
        <v/>
      </c>
      <c r="AJ589" s="2" t="s">
        <v>49</v>
      </c>
      <c r="AK589" s="2" t="s">
        <v>50</v>
      </c>
    </row>
    <row r="590" ht="15.75" customHeight="1">
      <c r="A590" s="2" t="s">
        <v>39</v>
      </c>
      <c r="B590" s="3" t="str">
        <f>HYPERLINK("https://www.senado.gob.ar/parlamentario/comisiones/verExp/317.25/S/PL","317")</f>
        <v>317</v>
      </c>
      <c r="C590" s="3" t="str">
        <f>HYPERLINK("https://www.senado.gob.ar/parlamentario/comisiones/verExp/317.25/S/PL","2025")</f>
        <v>2025</v>
      </c>
      <c r="D590" s="2" t="s">
        <v>56</v>
      </c>
      <c r="E590" s="2" t="s">
        <v>1237</v>
      </c>
      <c r="F590" s="2" t="s">
        <v>1231</v>
      </c>
      <c r="I590" s="2" t="s">
        <v>1227</v>
      </c>
      <c r="K590" s="2" t="s">
        <v>44</v>
      </c>
      <c r="L590" s="2" t="s">
        <v>1118</v>
      </c>
      <c r="N590" s="2" t="s">
        <v>577</v>
      </c>
      <c r="O590" s="2">
        <v>67.0</v>
      </c>
      <c r="P590" s="2" t="s">
        <v>84</v>
      </c>
      <c r="Q590" s="2" t="s">
        <v>1123</v>
      </c>
      <c r="S590" s="2">
        <v>70.0</v>
      </c>
      <c r="T590" s="2" t="s">
        <v>166</v>
      </c>
      <c r="U590" s="2" t="s">
        <v>1123</v>
      </c>
      <c r="W590" s="2">
        <v>54.0</v>
      </c>
      <c r="X590" s="2" t="s">
        <v>65</v>
      </c>
      <c r="Y590" s="2" t="s">
        <v>1120</v>
      </c>
      <c r="AI590" s="2" t="str">
        <f t="shared" si="11"/>
        <v/>
      </c>
      <c r="AJ590" s="2" t="s">
        <v>49</v>
      </c>
      <c r="AK590" s="2" t="s">
        <v>50</v>
      </c>
    </row>
    <row r="591" ht="15.75" customHeight="1">
      <c r="A591" s="2" t="s">
        <v>39</v>
      </c>
      <c r="B591" s="3" t="str">
        <f>HYPERLINK("https://www.senado.gob.ar/parlamentario/comisiones/verExp/316.25/S/PL","316")</f>
        <v>316</v>
      </c>
      <c r="C591" s="3" t="str">
        <f>HYPERLINK("https://www.senado.gob.ar/parlamentario/comisiones/verExp/316.25/S/PL","2025")</f>
        <v>2025</v>
      </c>
      <c r="D591" s="2" t="s">
        <v>56</v>
      </c>
      <c r="E591" s="2" t="s">
        <v>1238</v>
      </c>
      <c r="F591" s="2" t="s">
        <v>1231</v>
      </c>
      <c r="I591" s="2" t="s">
        <v>1227</v>
      </c>
      <c r="K591" s="2" t="s">
        <v>1239</v>
      </c>
      <c r="L591" s="2" t="s">
        <v>1240</v>
      </c>
      <c r="N591" s="2" t="s">
        <v>577</v>
      </c>
      <c r="O591" s="2">
        <v>69.0</v>
      </c>
      <c r="P591" s="2" t="s">
        <v>135</v>
      </c>
      <c r="Q591" s="2" t="s">
        <v>1120</v>
      </c>
      <c r="R591" s="2" t="s">
        <v>945</v>
      </c>
      <c r="S591" s="2">
        <v>69.0</v>
      </c>
      <c r="T591" s="2" t="s">
        <v>135</v>
      </c>
      <c r="U591" s="2" t="s">
        <v>659</v>
      </c>
      <c r="AI591" s="3" t="str">
        <f>HYPERLINK("https://www.senado.gob.ar/parlamentario/parlamentaria/ordenDelDiaResultadoLink/2025/140"," 140 2025 RB -")</f>
        <v> 140 2025 RB -</v>
      </c>
      <c r="AJ591" s="2" t="s">
        <v>49</v>
      </c>
      <c r="AK591" s="2" t="s">
        <v>50</v>
      </c>
    </row>
    <row r="592" ht="15.75" customHeight="1">
      <c r="A592" s="2" t="s">
        <v>39</v>
      </c>
      <c r="B592" s="3" t="str">
        <f>HYPERLINK("https://www.senado.gob.ar/parlamentario/comisiones/verExp/315.25/S/PL","315")</f>
        <v>315</v>
      </c>
      <c r="C592" s="3" t="str">
        <f>HYPERLINK("https://www.senado.gob.ar/parlamentario/comisiones/verExp/315.25/S/PL","2025")</f>
        <v>2025</v>
      </c>
      <c r="D592" s="2" t="s">
        <v>56</v>
      </c>
      <c r="E592" s="2" t="s">
        <v>1241</v>
      </c>
      <c r="F592" s="2" t="s">
        <v>1231</v>
      </c>
      <c r="I592" s="2" t="s">
        <v>1242</v>
      </c>
      <c r="K592" s="2" t="s">
        <v>44</v>
      </c>
      <c r="L592" s="2" t="s">
        <v>1118</v>
      </c>
      <c r="N592" s="2" t="s">
        <v>465</v>
      </c>
      <c r="O592" s="2">
        <v>53.0</v>
      </c>
      <c r="P592" s="2" t="s">
        <v>76</v>
      </c>
      <c r="Q592" s="2" t="s">
        <v>1120</v>
      </c>
      <c r="AI592" s="2" t="str">
        <f t="shared" ref="AI592:AI595" si="12">HYPERLINK("","")</f>
        <v/>
      </c>
      <c r="AJ592" s="2" t="s">
        <v>49</v>
      </c>
      <c r="AK592" s="2" t="s">
        <v>50</v>
      </c>
    </row>
    <row r="593" ht="15.75" customHeight="1">
      <c r="A593" s="2" t="s">
        <v>39</v>
      </c>
      <c r="B593" s="3" t="str">
        <f>HYPERLINK("https://www.senado.gob.ar/parlamentario/comisiones/verExp/314.25/S/PL","314")</f>
        <v>314</v>
      </c>
      <c r="C593" s="3" t="str">
        <f>HYPERLINK("https://www.senado.gob.ar/parlamentario/comisiones/verExp/314.25/S/PL","2025")</f>
        <v>2025</v>
      </c>
      <c r="D593" s="2" t="s">
        <v>56</v>
      </c>
      <c r="E593" s="2" t="s">
        <v>1243</v>
      </c>
      <c r="F593" s="2" t="s">
        <v>1231</v>
      </c>
      <c r="I593" s="2" t="s">
        <v>1242</v>
      </c>
      <c r="K593" s="2" t="s">
        <v>44</v>
      </c>
      <c r="L593" s="2" t="s">
        <v>1118</v>
      </c>
      <c r="N593" s="2" t="s">
        <v>465</v>
      </c>
      <c r="O593" s="2">
        <v>53.0</v>
      </c>
      <c r="P593" s="2" t="s">
        <v>76</v>
      </c>
      <c r="Q593" s="2" t="s">
        <v>1120</v>
      </c>
      <c r="AI593" s="2" t="str">
        <f t="shared" si="12"/>
        <v/>
      </c>
      <c r="AJ593" s="2" t="s">
        <v>49</v>
      </c>
      <c r="AK593" s="2" t="s">
        <v>50</v>
      </c>
    </row>
    <row r="594" ht="15.75" customHeight="1">
      <c r="A594" s="2" t="s">
        <v>39</v>
      </c>
      <c r="B594" s="3" t="str">
        <f>HYPERLINK("https://www.senado.gob.ar/parlamentario/comisiones/verExp/313.25/S/PL","313")</f>
        <v>313</v>
      </c>
      <c r="C594" s="3" t="str">
        <f>HYPERLINK("https://www.senado.gob.ar/parlamentario/comisiones/verExp/313.25/S/PL","2025")</f>
        <v>2025</v>
      </c>
      <c r="D594" s="2" t="s">
        <v>56</v>
      </c>
      <c r="E594" s="2" t="s">
        <v>1244</v>
      </c>
      <c r="F594" s="2" t="s">
        <v>1231</v>
      </c>
      <c r="I594" s="2" t="s">
        <v>1242</v>
      </c>
      <c r="K594" s="2" t="s">
        <v>44</v>
      </c>
      <c r="L594" s="2" t="s">
        <v>1118</v>
      </c>
      <c r="N594" s="2" t="s">
        <v>97</v>
      </c>
      <c r="O594" s="2">
        <v>75.0</v>
      </c>
      <c r="P594" s="2" t="s">
        <v>71</v>
      </c>
      <c r="Q594" s="2" t="s">
        <v>1120</v>
      </c>
      <c r="AI594" s="2" t="str">
        <f t="shared" si="12"/>
        <v/>
      </c>
      <c r="AJ594" s="2" t="s">
        <v>49</v>
      </c>
      <c r="AK594" s="2" t="s">
        <v>50</v>
      </c>
    </row>
    <row r="595" ht="15.75" customHeight="1">
      <c r="A595" s="2" t="s">
        <v>39</v>
      </c>
      <c r="B595" s="3" t="str">
        <f>HYPERLINK("https://www.senado.gob.ar/parlamentario/comisiones/verExp/312.25/S/PL","312")</f>
        <v>312</v>
      </c>
      <c r="C595" s="3" t="str">
        <f>HYPERLINK("https://www.senado.gob.ar/parlamentario/comisiones/verExp/312.25/S/PL","2025")</f>
        <v>2025</v>
      </c>
      <c r="D595" s="2" t="s">
        <v>56</v>
      </c>
      <c r="E595" s="2" t="s">
        <v>1245</v>
      </c>
      <c r="F595" s="2" t="s">
        <v>1231</v>
      </c>
      <c r="I595" s="2" t="s">
        <v>1242</v>
      </c>
      <c r="K595" s="2" t="s">
        <v>44</v>
      </c>
      <c r="L595" s="2" t="s">
        <v>1118</v>
      </c>
      <c r="N595" s="2" t="s">
        <v>97</v>
      </c>
      <c r="O595" s="2">
        <v>75.0</v>
      </c>
      <c r="P595" s="2" t="s">
        <v>71</v>
      </c>
      <c r="Q595" s="2" t="s">
        <v>1120</v>
      </c>
      <c r="AI595" s="2" t="str">
        <f t="shared" si="12"/>
        <v/>
      </c>
      <c r="AJ595" s="2" t="s">
        <v>49</v>
      </c>
      <c r="AK595" s="2" t="s">
        <v>50</v>
      </c>
    </row>
    <row r="596" ht="15.75" customHeight="1">
      <c r="A596" s="2" t="s">
        <v>39</v>
      </c>
      <c r="B596" s="3" t="str">
        <f>HYPERLINK("https://www.senado.gob.ar/parlamentario/comisiones/verExp/311.25/S/PL","311")</f>
        <v>311</v>
      </c>
      <c r="C596" s="3" t="str">
        <f>HYPERLINK("https://www.senado.gob.ar/parlamentario/comisiones/verExp/311.25/S/PL","2025")</f>
        <v>2025</v>
      </c>
      <c r="D596" s="2" t="s">
        <v>56</v>
      </c>
      <c r="E596" s="2" t="s">
        <v>1246</v>
      </c>
      <c r="F596" s="2" t="s">
        <v>1231</v>
      </c>
      <c r="I596" s="2" t="s">
        <v>1242</v>
      </c>
      <c r="K596" s="2" t="s">
        <v>1247</v>
      </c>
      <c r="L596" s="2" t="s">
        <v>1193</v>
      </c>
      <c r="N596" s="2" t="s">
        <v>97</v>
      </c>
      <c r="O596" s="2">
        <v>75.0</v>
      </c>
      <c r="P596" s="2" t="s">
        <v>71</v>
      </c>
      <c r="Q596" s="2" t="s">
        <v>1120</v>
      </c>
      <c r="R596" s="2" t="s">
        <v>912</v>
      </c>
      <c r="S596" s="2">
        <v>75.0</v>
      </c>
      <c r="T596" s="2" t="s">
        <v>71</v>
      </c>
      <c r="U596" s="2" t="s">
        <v>659</v>
      </c>
      <c r="AI596" s="3" t="str">
        <f>HYPERLINK("https://www.senado.gob.ar/parlamentario/parlamentaria/ordenDelDiaResultadoLink/2025/298"," 298 2025 RB -")</f>
        <v> 298 2025 RB -</v>
      </c>
      <c r="AJ596" s="2" t="s">
        <v>49</v>
      </c>
      <c r="AK596" s="2" t="s">
        <v>50</v>
      </c>
    </row>
    <row r="597" ht="15.75" customHeight="1">
      <c r="A597" s="2" t="s">
        <v>1141</v>
      </c>
      <c r="B597" s="3" t="str">
        <f>HYPERLINK("https://www.senado.gob.ar/parlamentario/comisiones/verExp/309.25/OV/CV","309")</f>
        <v>309</v>
      </c>
      <c r="C597" s="3" t="str">
        <f>HYPERLINK("https://www.senado.gob.ar/parlamentario/comisiones/verExp/309.25/OV/CV","2025")</f>
        <v>2025</v>
      </c>
      <c r="D597" s="2" t="s">
        <v>1142</v>
      </c>
      <c r="E597" s="2" t="s">
        <v>1248</v>
      </c>
      <c r="F597" s="2" t="s">
        <v>340</v>
      </c>
      <c r="I597" s="2" t="s">
        <v>162</v>
      </c>
      <c r="K597" s="2" t="s">
        <v>44</v>
      </c>
      <c r="L597" s="2" t="s">
        <v>162</v>
      </c>
      <c r="O597" s="2">
        <v>50.0</v>
      </c>
      <c r="P597" s="2" t="s">
        <v>47</v>
      </c>
      <c r="Q597" s="2" t="s">
        <v>172</v>
      </c>
      <c r="AI597" s="2" t="str">
        <f t="shared" ref="AI597:AI602" si="13">HYPERLINK("","")</f>
        <v/>
      </c>
      <c r="AJ597" s="2" t="s">
        <v>49</v>
      </c>
      <c r="AK597" s="2" t="s">
        <v>50</v>
      </c>
    </row>
    <row r="598" ht="15.75" customHeight="1">
      <c r="A598" s="2" t="s">
        <v>39</v>
      </c>
      <c r="B598" s="3" t="str">
        <f>HYPERLINK("https://www.senado.gob.ar/parlamentario/comisiones/verExp/306.25/S/PL","306")</f>
        <v>306</v>
      </c>
      <c r="C598" s="3" t="str">
        <f>HYPERLINK("https://www.senado.gob.ar/parlamentario/comisiones/verExp/306.25/S/PL","2025")</f>
        <v>2025</v>
      </c>
      <c r="D598" s="2" t="s">
        <v>56</v>
      </c>
      <c r="E598" s="2" t="s">
        <v>1249</v>
      </c>
      <c r="F598" s="2" t="s">
        <v>1231</v>
      </c>
      <c r="I598" s="2" t="s">
        <v>1242</v>
      </c>
      <c r="K598" s="2" t="s">
        <v>44</v>
      </c>
      <c r="L598" s="2" t="s">
        <v>1118</v>
      </c>
      <c r="N598" s="2" t="s">
        <v>261</v>
      </c>
      <c r="O598" s="2">
        <v>69.0</v>
      </c>
      <c r="P598" s="2" t="s">
        <v>135</v>
      </c>
      <c r="Q598" s="2" t="s">
        <v>1120</v>
      </c>
      <c r="S598" s="2">
        <v>78.0</v>
      </c>
      <c r="T598" s="2" t="s">
        <v>73</v>
      </c>
      <c r="U598" s="2" t="s">
        <v>1120</v>
      </c>
      <c r="AI598" s="2" t="str">
        <f t="shared" si="13"/>
        <v/>
      </c>
      <c r="AJ598" s="2" t="s">
        <v>49</v>
      </c>
      <c r="AK598" s="2" t="s">
        <v>50</v>
      </c>
    </row>
    <row r="599" ht="15.75" customHeight="1">
      <c r="A599" s="2" t="s">
        <v>39</v>
      </c>
      <c r="B599" s="3" t="str">
        <f>HYPERLINK("https://www.senado.gob.ar/parlamentario/comisiones/verExp/304.25/S/PL","304")</f>
        <v>304</v>
      </c>
      <c r="C599" s="3" t="str">
        <f>HYPERLINK("https://www.senado.gob.ar/parlamentario/comisiones/verExp/304.25/S/PL","2025")</f>
        <v>2025</v>
      </c>
      <c r="D599" s="2" t="s">
        <v>56</v>
      </c>
      <c r="E599" s="2" t="s">
        <v>1250</v>
      </c>
      <c r="F599" s="2" t="s">
        <v>1231</v>
      </c>
      <c r="I599" s="2" t="s">
        <v>1242</v>
      </c>
      <c r="K599" s="2" t="s">
        <v>44</v>
      </c>
      <c r="L599" s="2" t="s">
        <v>1118</v>
      </c>
      <c r="N599" s="2" t="s">
        <v>1251</v>
      </c>
      <c r="O599" s="2">
        <v>78.0</v>
      </c>
      <c r="P599" s="2" t="s">
        <v>73</v>
      </c>
      <c r="Q599" s="2" t="s">
        <v>1120</v>
      </c>
      <c r="AI599" s="2" t="str">
        <f t="shared" si="13"/>
        <v/>
      </c>
      <c r="AJ599" s="2" t="s">
        <v>49</v>
      </c>
      <c r="AK599" s="2" t="s">
        <v>50</v>
      </c>
    </row>
    <row r="600" ht="15.75" customHeight="1">
      <c r="A600" s="2" t="s">
        <v>39</v>
      </c>
      <c r="B600" s="3" t="str">
        <f>HYPERLINK("https://www.senado.gob.ar/parlamentario/comisiones/verExp/302.25/S/PL","302")</f>
        <v>302</v>
      </c>
      <c r="C600" s="3" t="str">
        <f>HYPERLINK("https://www.senado.gob.ar/parlamentario/comisiones/verExp/302.25/S/PL","2025")</f>
        <v>2025</v>
      </c>
      <c r="D600" s="2" t="s">
        <v>56</v>
      </c>
      <c r="E600" s="2" t="s">
        <v>1252</v>
      </c>
      <c r="F600" s="2" t="s">
        <v>1231</v>
      </c>
      <c r="I600" s="2" t="s">
        <v>1242</v>
      </c>
      <c r="K600" s="2" t="s">
        <v>44</v>
      </c>
      <c r="L600" s="2" t="s">
        <v>1118</v>
      </c>
      <c r="N600" s="2" t="s">
        <v>356</v>
      </c>
      <c r="O600" s="2">
        <v>50.0</v>
      </c>
      <c r="P600" s="2" t="s">
        <v>47</v>
      </c>
      <c r="Q600" s="2" t="s">
        <v>1120</v>
      </c>
      <c r="S600" s="2">
        <v>52.0</v>
      </c>
      <c r="T600" s="2" t="s">
        <v>78</v>
      </c>
      <c r="U600" s="2" t="s">
        <v>1120</v>
      </c>
      <c r="AI600" s="2" t="str">
        <f t="shared" si="13"/>
        <v/>
      </c>
      <c r="AJ600" s="2" t="s">
        <v>49</v>
      </c>
      <c r="AK600" s="2" t="s">
        <v>50</v>
      </c>
    </row>
    <row r="601" ht="15.75" customHeight="1">
      <c r="A601" s="2" t="s">
        <v>39</v>
      </c>
      <c r="B601" s="3" t="str">
        <f>HYPERLINK("https://www.senado.gob.ar/parlamentario/comisiones/verExp/301.25/S/PL","301")</f>
        <v>301</v>
      </c>
      <c r="C601" s="3" t="str">
        <f>HYPERLINK("https://www.senado.gob.ar/parlamentario/comisiones/verExp/301.25/S/PL","2025")</f>
        <v>2025</v>
      </c>
      <c r="D601" s="2" t="s">
        <v>56</v>
      </c>
      <c r="E601" s="2" t="s">
        <v>1253</v>
      </c>
      <c r="F601" s="2" t="s">
        <v>1231</v>
      </c>
      <c r="I601" s="2" t="s">
        <v>1242</v>
      </c>
      <c r="K601" s="2" t="s">
        <v>44</v>
      </c>
      <c r="L601" s="2" t="s">
        <v>1227</v>
      </c>
      <c r="N601" s="2" t="s">
        <v>1254</v>
      </c>
      <c r="O601" s="2">
        <v>54.0</v>
      </c>
      <c r="P601" s="2" t="s">
        <v>65</v>
      </c>
      <c r="Q601" s="2" t="s">
        <v>1255</v>
      </c>
      <c r="AI601" s="2" t="str">
        <f t="shared" si="13"/>
        <v/>
      </c>
      <c r="AJ601" s="2" t="s">
        <v>49</v>
      </c>
      <c r="AK601" s="2" t="s">
        <v>50</v>
      </c>
    </row>
    <row r="602" ht="15.75" customHeight="1">
      <c r="A602" s="2" t="s">
        <v>39</v>
      </c>
      <c r="B602" s="3" t="str">
        <f>HYPERLINK("https://www.senado.gob.ar/parlamentario/comisiones/verExp/300.25/S/PR","300")</f>
        <v>300</v>
      </c>
      <c r="C602" s="3" t="str">
        <f>HYPERLINK("https://www.senado.gob.ar/parlamentario/comisiones/verExp/300.25/S/PR","2025")</f>
        <v>2025</v>
      </c>
      <c r="D602" s="2" t="s">
        <v>145</v>
      </c>
      <c r="E602" s="2" t="s">
        <v>1256</v>
      </c>
      <c r="F602" s="2" t="s">
        <v>1257</v>
      </c>
      <c r="I602" s="2" t="s">
        <v>1242</v>
      </c>
      <c r="K602" s="2" t="s">
        <v>44</v>
      </c>
      <c r="L602" s="2" t="s">
        <v>1227</v>
      </c>
      <c r="N602" s="2" t="s">
        <v>1258</v>
      </c>
      <c r="O602" s="2">
        <v>50.0</v>
      </c>
      <c r="P602" s="2" t="s">
        <v>47</v>
      </c>
      <c r="Q602" s="2" t="s">
        <v>1255</v>
      </c>
      <c r="S602" s="2">
        <v>54.0</v>
      </c>
      <c r="T602" s="2" t="s">
        <v>65</v>
      </c>
      <c r="U602" s="2" t="s">
        <v>1255</v>
      </c>
      <c r="AI602" s="2" t="str">
        <f t="shared" si="13"/>
        <v/>
      </c>
      <c r="AJ602" s="2" t="s">
        <v>49</v>
      </c>
      <c r="AK602" s="2" t="s">
        <v>50</v>
      </c>
    </row>
    <row r="603" ht="15.75" customHeight="1">
      <c r="A603" s="2" t="s">
        <v>39</v>
      </c>
      <c r="B603" s="3" t="str">
        <f>HYPERLINK("https://www.senado.gob.ar/parlamentario/comisiones/verExp/297.25/S/PL","297")</f>
        <v>297</v>
      </c>
      <c r="C603" s="3" t="str">
        <f>HYPERLINK("https://www.senado.gob.ar/parlamentario/comisiones/verExp/297.25/S/PL","2025")</f>
        <v>2025</v>
      </c>
      <c r="D603" s="2" t="s">
        <v>56</v>
      </c>
      <c r="E603" s="2" t="s">
        <v>1259</v>
      </c>
      <c r="F603" s="2" t="s">
        <v>1257</v>
      </c>
      <c r="I603" s="2" t="s">
        <v>1242</v>
      </c>
      <c r="K603" s="2" t="s">
        <v>1260</v>
      </c>
      <c r="L603" s="2" t="s">
        <v>1261</v>
      </c>
      <c r="N603" s="2" t="s">
        <v>279</v>
      </c>
      <c r="O603" s="2">
        <v>59.0</v>
      </c>
      <c r="P603" s="2" t="s">
        <v>220</v>
      </c>
      <c r="Q603" s="2" t="s">
        <v>1255</v>
      </c>
      <c r="R603" s="2" t="s">
        <v>1262</v>
      </c>
      <c r="S603" s="2">
        <v>59.0</v>
      </c>
      <c r="T603" s="2" t="s">
        <v>220</v>
      </c>
      <c r="U603" s="2" t="s">
        <v>659</v>
      </c>
      <c r="AI603" s="3" t="str">
        <f>HYPERLINK("https://www.senado.gob.ar/parlamentario/parlamentaria/ordenDelDiaResultadoLink/2025/455"," 455 2025 RB -")</f>
        <v> 455 2025 RB -</v>
      </c>
      <c r="AJ603" s="2" t="s">
        <v>49</v>
      </c>
      <c r="AK603" s="2" t="s">
        <v>50</v>
      </c>
    </row>
    <row r="604" ht="15.75" customHeight="1">
      <c r="A604" s="2" t="s">
        <v>39</v>
      </c>
      <c r="B604" s="3" t="str">
        <f>HYPERLINK("https://www.senado.gob.ar/parlamentario/comisiones/verExp/293.25/S/PL","293")</f>
        <v>293</v>
      </c>
      <c r="C604" s="3" t="str">
        <f>HYPERLINK("https://www.senado.gob.ar/parlamentario/comisiones/verExp/293.25/S/PL","2025")</f>
        <v>2025</v>
      </c>
      <c r="D604" s="2" t="s">
        <v>56</v>
      </c>
      <c r="E604" s="2" t="s">
        <v>1263</v>
      </c>
      <c r="F604" s="2" t="s">
        <v>1257</v>
      </c>
      <c r="I604" s="2" t="s">
        <v>1242</v>
      </c>
      <c r="K604" s="2" t="s">
        <v>44</v>
      </c>
      <c r="L604" s="2" t="s">
        <v>1227</v>
      </c>
      <c r="N604" s="2" t="s">
        <v>312</v>
      </c>
      <c r="O604" s="2">
        <v>61.0</v>
      </c>
      <c r="P604" s="2" t="s">
        <v>104</v>
      </c>
      <c r="Q604" s="2" t="s">
        <v>1255</v>
      </c>
      <c r="S604" s="2">
        <v>54.0</v>
      </c>
      <c r="T604" s="2" t="s">
        <v>65</v>
      </c>
      <c r="U604" s="2" t="s">
        <v>1255</v>
      </c>
      <c r="AI604" s="2" t="str">
        <f t="shared" ref="AI604:AI607" si="14">HYPERLINK("","")</f>
        <v/>
      </c>
      <c r="AJ604" s="2" t="s">
        <v>49</v>
      </c>
      <c r="AK604" s="2" t="s">
        <v>50</v>
      </c>
    </row>
    <row r="605" ht="15.75" customHeight="1">
      <c r="A605" s="2" t="s">
        <v>39</v>
      </c>
      <c r="B605" s="3" t="str">
        <f>HYPERLINK("https://www.senado.gob.ar/parlamentario/comisiones/verExp/292.25/S/PL","292")</f>
        <v>292</v>
      </c>
      <c r="C605" s="3" t="str">
        <f>HYPERLINK("https://www.senado.gob.ar/parlamentario/comisiones/verExp/292.25/S/PL","2025")</f>
        <v>2025</v>
      </c>
      <c r="D605" s="2" t="s">
        <v>56</v>
      </c>
      <c r="E605" s="2" t="s">
        <v>1264</v>
      </c>
      <c r="F605" s="2" t="s">
        <v>1257</v>
      </c>
      <c r="I605" s="2" t="s">
        <v>1242</v>
      </c>
      <c r="K605" s="2" t="s">
        <v>44</v>
      </c>
      <c r="L605" s="2" t="s">
        <v>1227</v>
      </c>
      <c r="N605" s="2" t="s">
        <v>312</v>
      </c>
      <c r="O605" s="2">
        <v>78.0</v>
      </c>
      <c r="P605" s="2" t="s">
        <v>73</v>
      </c>
      <c r="Q605" s="2" t="s">
        <v>1255</v>
      </c>
      <c r="S605" s="2">
        <v>68.0</v>
      </c>
      <c r="T605" s="2" t="s">
        <v>180</v>
      </c>
      <c r="U605" s="2" t="s">
        <v>1255</v>
      </c>
      <c r="AI605" s="2" t="str">
        <f t="shared" si="14"/>
        <v/>
      </c>
      <c r="AJ605" s="2" t="s">
        <v>49</v>
      </c>
      <c r="AK605" s="2" t="s">
        <v>50</v>
      </c>
    </row>
    <row r="606" ht="15.75" customHeight="1">
      <c r="A606" s="2" t="s">
        <v>39</v>
      </c>
      <c r="B606" s="3" t="str">
        <f>HYPERLINK("https://www.senado.gob.ar/parlamentario/comisiones/verExp/291.25/S/PL","291")</f>
        <v>291</v>
      </c>
      <c r="C606" s="3" t="str">
        <f>HYPERLINK("https://www.senado.gob.ar/parlamentario/comisiones/verExp/291.25/S/PL","2025")</f>
        <v>2025</v>
      </c>
      <c r="D606" s="2" t="s">
        <v>56</v>
      </c>
      <c r="E606" s="2" t="s">
        <v>1265</v>
      </c>
      <c r="F606" s="2" t="s">
        <v>1257</v>
      </c>
      <c r="I606" s="2" t="s">
        <v>1242</v>
      </c>
      <c r="K606" s="2" t="s">
        <v>44</v>
      </c>
      <c r="L606" s="2" t="s">
        <v>1227</v>
      </c>
      <c r="N606" s="2" t="s">
        <v>906</v>
      </c>
      <c r="O606" s="2">
        <v>70.0</v>
      </c>
      <c r="P606" s="2" t="s">
        <v>166</v>
      </c>
      <c r="Q606" s="2" t="s">
        <v>1255</v>
      </c>
      <c r="S606" s="2">
        <v>61.0</v>
      </c>
      <c r="T606" s="2" t="s">
        <v>104</v>
      </c>
      <c r="U606" s="2" t="s">
        <v>1255</v>
      </c>
      <c r="AI606" s="2" t="str">
        <f t="shared" si="14"/>
        <v/>
      </c>
      <c r="AJ606" s="2" t="s">
        <v>49</v>
      </c>
      <c r="AK606" s="2" t="s">
        <v>50</v>
      </c>
    </row>
    <row r="607" ht="15.75" customHeight="1">
      <c r="A607" s="2" t="s">
        <v>39</v>
      </c>
      <c r="B607" s="3" t="str">
        <f>HYPERLINK("https://www.senado.gob.ar/parlamentario/comisiones/verExp/290.25/S/PL","290")</f>
        <v>290</v>
      </c>
      <c r="C607" s="3" t="str">
        <f>HYPERLINK("https://www.senado.gob.ar/parlamentario/comisiones/verExp/290.25/S/PL","2025")</f>
        <v>2025</v>
      </c>
      <c r="D607" s="2" t="s">
        <v>56</v>
      </c>
      <c r="E607" s="2" t="s">
        <v>1266</v>
      </c>
      <c r="F607" s="2" t="s">
        <v>1257</v>
      </c>
      <c r="I607" s="2" t="s">
        <v>1242</v>
      </c>
      <c r="K607" s="2" t="s">
        <v>44</v>
      </c>
      <c r="L607" s="2" t="s">
        <v>1227</v>
      </c>
      <c r="N607" s="2" t="s">
        <v>906</v>
      </c>
      <c r="O607" s="2">
        <v>50.0</v>
      </c>
      <c r="P607" s="2" t="s">
        <v>47</v>
      </c>
      <c r="Q607" s="2" t="s">
        <v>1255</v>
      </c>
      <c r="S607" s="2">
        <v>70.0</v>
      </c>
      <c r="T607" s="2" t="s">
        <v>166</v>
      </c>
      <c r="U607" s="2" t="s">
        <v>1255</v>
      </c>
      <c r="AI607" s="2" t="str">
        <f t="shared" si="14"/>
        <v/>
      </c>
      <c r="AJ607" s="2" t="s">
        <v>49</v>
      </c>
      <c r="AK607" s="2" t="s">
        <v>50</v>
      </c>
    </row>
    <row r="608" ht="15.75" customHeight="1">
      <c r="A608" s="2" t="s">
        <v>1141</v>
      </c>
      <c r="B608" s="3" t="str">
        <f>HYPERLINK("https://www.senado.gob.ar/parlamentario/comisiones/verExp/289.25/OV/CV","289")</f>
        <v>289</v>
      </c>
      <c r="C608" s="3" t="str">
        <f>HYPERLINK("https://www.senado.gob.ar/parlamentario/comisiones/verExp/289.25/OV/CV","2025")</f>
        <v>2025</v>
      </c>
      <c r="D608" s="2" t="s">
        <v>1142</v>
      </c>
      <c r="E608" s="2" t="s">
        <v>1267</v>
      </c>
      <c r="F608" s="2" t="s">
        <v>1268</v>
      </c>
      <c r="I608" s="2" t="s">
        <v>1269</v>
      </c>
      <c r="K608" s="2" t="s">
        <v>1270</v>
      </c>
      <c r="L608" s="2" t="s">
        <v>1271</v>
      </c>
      <c r="O608" s="2">
        <v>50.0</v>
      </c>
      <c r="P608" s="2" t="s">
        <v>47</v>
      </c>
      <c r="Q608" s="2" t="s">
        <v>1272</v>
      </c>
      <c r="R608" s="2" t="s">
        <v>1273</v>
      </c>
      <c r="S608" s="2">
        <v>50.0</v>
      </c>
      <c r="T608" s="2" t="s">
        <v>47</v>
      </c>
      <c r="U608" s="2" t="s">
        <v>1274</v>
      </c>
      <c r="AI608" s="3" t="str">
        <f>HYPERLINK("https://www.senado.gob.ar/parlamentario/parlamentaria/ordenDelDiaResultadoLink/2025/679"," 679 2025 AP -")</f>
        <v> 679 2025 AP -</v>
      </c>
      <c r="AJ608" s="2" t="s">
        <v>1275</v>
      </c>
      <c r="AK608" s="2" t="s">
        <v>50</v>
      </c>
    </row>
    <row r="609" ht="15.75" customHeight="1">
      <c r="A609" s="2" t="s">
        <v>39</v>
      </c>
      <c r="B609" s="3" t="str">
        <f>HYPERLINK("https://www.senado.gob.ar/parlamentario/comisiones/verExp/287.25/S/PL","287")</f>
        <v>287</v>
      </c>
      <c r="C609" s="3" t="str">
        <f>HYPERLINK("https://www.senado.gob.ar/parlamentario/comisiones/verExp/287.25/S/PL","2025")</f>
        <v>2025</v>
      </c>
      <c r="D609" s="2" t="s">
        <v>56</v>
      </c>
      <c r="E609" s="2" t="s">
        <v>1276</v>
      </c>
      <c r="F609" s="2" t="s">
        <v>1257</v>
      </c>
      <c r="I609" s="2" t="s">
        <v>1277</v>
      </c>
      <c r="K609" s="2" t="s">
        <v>44</v>
      </c>
      <c r="L609" s="2" t="s">
        <v>1227</v>
      </c>
      <c r="N609" s="2" t="s">
        <v>1278</v>
      </c>
      <c r="O609" s="2">
        <v>50.0</v>
      </c>
      <c r="P609" s="2" t="s">
        <v>47</v>
      </c>
      <c r="Q609" s="2" t="s">
        <v>1255</v>
      </c>
      <c r="S609" s="2">
        <v>68.0</v>
      </c>
      <c r="T609" s="2" t="s">
        <v>180</v>
      </c>
      <c r="U609" s="2" t="s">
        <v>1255</v>
      </c>
      <c r="W609" s="2">
        <v>54.0</v>
      </c>
      <c r="X609" s="2" t="s">
        <v>65</v>
      </c>
      <c r="Y609" s="2" t="s">
        <v>1255</v>
      </c>
      <c r="AI609" s="2" t="str">
        <f>HYPERLINK("","")</f>
        <v/>
      </c>
      <c r="AJ609" s="2" t="s">
        <v>49</v>
      </c>
      <c r="AK609" s="2" t="s">
        <v>50</v>
      </c>
    </row>
    <row r="610" ht="15.75" customHeight="1">
      <c r="A610" s="2" t="s">
        <v>39</v>
      </c>
      <c r="B610" s="3" t="str">
        <f>HYPERLINK("https://www.senado.gob.ar/parlamentario/comisiones/verExp/285.25/S/PL","285")</f>
        <v>285</v>
      </c>
      <c r="C610" s="3" t="str">
        <f>HYPERLINK("https://www.senado.gob.ar/parlamentario/comisiones/verExp/285.25/S/PL","2025")</f>
        <v>2025</v>
      </c>
      <c r="D610" s="2" t="s">
        <v>56</v>
      </c>
      <c r="E610" s="2" t="s">
        <v>1279</v>
      </c>
      <c r="F610" s="2" t="s">
        <v>1257</v>
      </c>
      <c r="I610" s="2" t="s">
        <v>1280</v>
      </c>
      <c r="K610" s="2" t="s">
        <v>1281</v>
      </c>
      <c r="L610" s="2" t="s">
        <v>1261</v>
      </c>
      <c r="N610" s="2" t="s">
        <v>980</v>
      </c>
      <c r="O610" s="2">
        <v>65.0</v>
      </c>
      <c r="P610" s="2" t="s">
        <v>153</v>
      </c>
      <c r="Q610" s="2" t="s">
        <v>1255</v>
      </c>
      <c r="R610" s="2" t="s">
        <v>657</v>
      </c>
      <c r="S610" s="2">
        <v>65.0</v>
      </c>
      <c r="T610" s="2" t="s">
        <v>153</v>
      </c>
      <c r="U610" s="2" t="s">
        <v>659</v>
      </c>
      <c r="W610" s="2">
        <v>69.0</v>
      </c>
      <c r="X610" s="2" t="s">
        <v>135</v>
      </c>
      <c r="Y610" s="2" t="s">
        <v>1255</v>
      </c>
      <c r="Z610" s="2" t="s">
        <v>657</v>
      </c>
      <c r="AA610" s="2">
        <v>69.0</v>
      </c>
      <c r="AB610" s="2" t="s">
        <v>135</v>
      </c>
      <c r="AC610" s="2" t="s">
        <v>659</v>
      </c>
      <c r="AI610" s="3" t="str">
        <f>HYPERLINK("https://www.senado.gob.ar/parlamentario/parlamentaria/ordenDelDiaResultadoLink/2025/669"," 669 2025 RB -")</f>
        <v> 669 2025 RB -</v>
      </c>
      <c r="AJ610" s="2" t="s">
        <v>49</v>
      </c>
      <c r="AK610" s="2" t="s">
        <v>50</v>
      </c>
    </row>
    <row r="611" ht="15.75" customHeight="1">
      <c r="A611" s="2" t="s">
        <v>1141</v>
      </c>
      <c r="B611" s="3" t="str">
        <f>HYPERLINK("https://www.senado.gob.ar/parlamentario/comisiones/verExp/280.25/OV/CV","280")</f>
        <v>280</v>
      </c>
      <c r="C611" s="3" t="str">
        <f>HYPERLINK("https://www.senado.gob.ar/parlamentario/comisiones/verExp/280.25/OV/CV","2025")</f>
        <v>2025</v>
      </c>
      <c r="D611" s="2" t="s">
        <v>1142</v>
      </c>
      <c r="E611" s="2" t="s">
        <v>1282</v>
      </c>
      <c r="F611" s="2" t="s">
        <v>340</v>
      </c>
      <c r="I611" s="2" t="s">
        <v>321</v>
      </c>
      <c r="K611" s="2" t="s">
        <v>44</v>
      </c>
      <c r="L611" s="2" t="s">
        <v>319</v>
      </c>
      <c r="O611" s="2">
        <v>52.0</v>
      </c>
      <c r="P611" s="2" t="s">
        <v>78</v>
      </c>
      <c r="Q611" s="2" t="s">
        <v>322</v>
      </c>
      <c r="AI611" s="2" t="str">
        <f t="shared" ref="AI611:AI628" si="15">HYPERLINK("","")</f>
        <v/>
      </c>
      <c r="AJ611" s="2" t="s">
        <v>49</v>
      </c>
      <c r="AK611" s="2" t="s">
        <v>50</v>
      </c>
    </row>
    <row r="612" ht="15.75" customHeight="1">
      <c r="A612" s="2" t="s">
        <v>39</v>
      </c>
      <c r="B612" s="3" t="str">
        <f>HYPERLINK("https://www.senado.gob.ar/parlamentario/comisiones/verExp/278.25/S/PL","278")</f>
        <v>278</v>
      </c>
      <c r="C612" s="3" t="str">
        <f>HYPERLINK("https://www.senado.gob.ar/parlamentario/comisiones/verExp/278.25/S/PL","2025")</f>
        <v>2025</v>
      </c>
      <c r="D612" s="2" t="s">
        <v>56</v>
      </c>
      <c r="E612" s="2" t="s">
        <v>1283</v>
      </c>
      <c r="F612" s="2" t="s">
        <v>1284</v>
      </c>
      <c r="I612" s="2" t="s">
        <v>1280</v>
      </c>
      <c r="K612" s="2" t="s">
        <v>44</v>
      </c>
      <c r="L612" s="2" t="s">
        <v>1227</v>
      </c>
      <c r="N612" s="2" t="s">
        <v>160</v>
      </c>
      <c r="O612" s="2">
        <v>65.0</v>
      </c>
      <c r="P612" s="2" t="s">
        <v>153</v>
      </c>
      <c r="Q612" s="2" t="s">
        <v>1255</v>
      </c>
      <c r="AI612" s="2" t="str">
        <f t="shared" si="15"/>
        <v/>
      </c>
      <c r="AJ612" s="2" t="s">
        <v>49</v>
      </c>
      <c r="AK612" s="2" t="s">
        <v>50</v>
      </c>
    </row>
    <row r="613" ht="15.75" customHeight="1">
      <c r="A613" s="2" t="s">
        <v>39</v>
      </c>
      <c r="B613" s="3" t="str">
        <f>HYPERLINK("https://www.senado.gob.ar/parlamentario/comisiones/verExp/277.25/S/PL","277")</f>
        <v>277</v>
      </c>
      <c r="C613" s="3" t="str">
        <f>HYPERLINK("https://www.senado.gob.ar/parlamentario/comisiones/verExp/277.25/S/PL","2025")</f>
        <v>2025</v>
      </c>
      <c r="D613" s="2" t="s">
        <v>56</v>
      </c>
      <c r="E613" s="2" t="s">
        <v>1285</v>
      </c>
      <c r="F613" s="2" t="s">
        <v>1284</v>
      </c>
      <c r="I613" s="2" t="s">
        <v>1280</v>
      </c>
      <c r="K613" s="2" t="s">
        <v>44</v>
      </c>
      <c r="L613" s="2" t="s">
        <v>1227</v>
      </c>
      <c r="N613" s="2" t="s">
        <v>160</v>
      </c>
      <c r="O613" s="2">
        <v>61.0</v>
      </c>
      <c r="P613" s="2" t="s">
        <v>104</v>
      </c>
      <c r="Q613" s="2" t="s">
        <v>1255</v>
      </c>
      <c r="AI613" s="2" t="str">
        <f t="shared" si="15"/>
        <v/>
      </c>
      <c r="AJ613" s="2" t="s">
        <v>49</v>
      </c>
      <c r="AK613" s="2" t="s">
        <v>50</v>
      </c>
    </row>
    <row r="614" ht="15.75" customHeight="1">
      <c r="A614" s="2" t="s">
        <v>39</v>
      </c>
      <c r="B614" s="3" t="str">
        <f>HYPERLINK("https://www.senado.gob.ar/parlamentario/comisiones/verExp/270.25/S/PL","270")</f>
        <v>270</v>
      </c>
      <c r="C614" s="3" t="str">
        <f>HYPERLINK("https://www.senado.gob.ar/parlamentario/comisiones/verExp/270.25/S/PL","2025")</f>
        <v>2025</v>
      </c>
      <c r="D614" s="2" t="s">
        <v>56</v>
      </c>
      <c r="E614" s="2" t="s">
        <v>1286</v>
      </c>
      <c r="F614" s="2" t="s">
        <v>1284</v>
      </c>
      <c r="I614" s="2" t="s">
        <v>1280</v>
      </c>
      <c r="K614" s="2" t="s">
        <v>44</v>
      </c>
      <c r="L614" s="2" t="s">
        <v>1227</v>
      </c>
      <c r="N614" s="2" t="s">
        <v>1129</v>
      </c>
      <c r="O614" s="2">
        <v>54.0</v>
      </c>
      <c r="P614" s="2" t="s">
        <v>65</v>
      </c>
      <c r="Q614" s="2" t="s">
        <v>1255</v>
      </c>
      <c r="S614" s="2">
        <v>72.0</v>
      </c>
      <c r="T614" s="2" t="s">
        <v>243</v>
      </c>
      <c r="U614" s="2" t="s">
        <v>1255</v>
      </c>
      <c r="AI614" s="2" t="str">
        <f t="shared" si="15"/>
        <v/>
      </c>
      <c r="AJ614" s="2" t="s">
        <v>49</v>
      </c>
      <c r="AK614" s="2" t="s">
        <v>50</v>
      </c>
    </row>
    <row r="615" ht="15.75" customHeight="1">
      <c r="A615" s="2" t="s">
        <v>39</v>
      </c>
      <c r="B615" s="3" t="str">
        <f>HYPERLINK("https://www.senado.gob.ar/parlamentario/comisiones/verExp/262.25/S/PL","262")</f>
        <v>262</v>
      </c>
      <c r="C615" s="3" t="str">
        <f>HYPERLINK("https://www.senado.gob.ar/parlamentario/comisiones/verExp/262.25/S/PL","2025")</f>
        <v>2025</v>
      </c>
      <c r="D615" s="2" t="s">
        <v>56</v>
      </c>
      <c r="E615" s="2" t="s">
        <v>1287</v>
      </c>
      <c r="F615" s="2" t="s">
        <v>1284</v>
      </c>
      <c r="I615" s="2" t="s">
        <v>1288</v>
      </c>
      <c r="K615" s="2" t="s">
        <v>44</v>
      </c>
      <c r="L615" s="2" t="s">
        <v>1227</v>
      </c>
      <c r="N615" s="2" t="s">
        <v>453</v>
      </c>
      <c r="O615" s="2">
        <v>75.0</v>
      </c>
      <c r="P615" s="2" t="s">
        <v>71</v>
      </c>
      <c r="Q615" s="2" t="s">
        <v>1255</v>
      </c>
      <c r="S615" s="2">
        <v>76.0</v>
      </c>
      <c r="T615" s="2" t="s">
        <v>233</v>
      </c>
      <c r="U615" s="2" t="s">
        <v>1255</v>
      </c>
      <c r="W615" s="2">
        <v>64.0</v>
      </c>
      <c r="X615" s="2" t="s">
        <v>186</v>
      </c>
      <c r="Y615" s="2" t="s">
        <v>1255</v>
      </c>
      <c r="AI615" s="2" t="str">
        <f t="shared" si="15"/>
        <v/>
      </c>
      <c r="AJ615" s="2" t="s">
        <v>49</v>
      </c>
      <c r="AK615" s="2" t="s">
        <v>50</v>
      </c>
    </row>
    <row r="616" ht="15.75" customHeight="1">
      <c r="A616" s="2" t="s">
        <v>39</v>
      </c>
      <c r="B616" s="3" t="str">
        <f>HYPERLINK("https://www.senado.gob.ar/parlamentario/comisiones/verExp/261.25/S/PL","261")</f>
        <v>261</v>
      </c>
      <c r="C616" s="3" t="str">
        <f>HYPERLINK("https://www.senado.gob.ar/parlamentario/comisiones/verExp/261.25/S/PL","2025")</f>
        <v>2025</v>
      </c>
      <c r="D616" s="2" t="s">
        <v>56</v>
      </c>
      <c r="E616" s="2" t="s">
        <v>1289</v>
      </c>
      <c r="F616" s="2" t="s">
        <v>1284</v>
      </c>
      <c r="I616" s="2" t="s">
        <v>1288</v>
      </c>
      <c r="K616" s="2" t="s">
        <v>44</v>
      </c>
      <c r="L616" s="2" t="s">
        <v>1227</v>
      </c>
      <c r="N616" s="2" t="s">
        <v>1290</v>
      </c>
      <c r="O616" s="2">
        <v>53.0</v>
      </c>
      <c r="P616" s="2" t="s">
        <v>76</v>
      </c>
      <c r="Q616" s="2" t="s">
        <v>1255</v>
      </c>
      <c r="S616" s="2">
        <v>75.0</v>
      </c>
      <c r="T616" s="2" t="s">
        <v>71</v>
      </c>
      <c r="U616" s="2" t="s">
        <v>1255</v>
      </c>
      <c r="AI616" s="2" t="str">
        <f t="shared" si="15"/>
        <v/>
      </c>
      <c r="AJ616" s="2" t="s">
        <v>49</v>
      </c>
      <c r="AK616" s="2" t="s">
        <v>50</v>
      </c>
    </row>
    <row r="617" ht="15.75" customHeight="1">
      <c r="A617" s="2" t="s">
        <v>39</v>
      </c>
      <c r="B617" s="3" t="str">
        <f>HYPERLINK("https://www.senado.gob.ar/parlamentario/comisiones/verExp/259.25/S/PL","259")</f>
        <v>259</v>
      </c>
      <c r="C617" s="3" t="str">
        <f>HYPERLINK("https://www.senado.gob.ar/parlamentario/comisiones/verExp/259.25/S/PL","2025")</f>
        <v>2025</v>
      </c>
      <c r="D617" s="2" t="s">
        <v>56</v>
      </c>
      <c r="E617" s="2" t="s">
        <v>1291</v>
      </c>
      <c r="F617" s="2" t="s">
        <v>1292</v>
      </c>
      <c r="I617" s="2" t="s">
        <v>1293</v>
      </c>
      <c r="K617" s="2" t="s">
        <v>44</v>
      </c>
      <c r="L617" s="2" t="s">
        <v>1227</v>
      </c>
      <c r="N617" s="2" t="s">
        <v>356</v>
      </c>
      <c r="O617" s="2">
        <v>54.0</v>
      </c>
      <c r="P617" s="2" t="s">
        <v>65</v>
      </c>
      <c r="Q617" s="2" t="s">
        <v>1255</v>
      </c>
      <c r="AI617" s="2" t="str">
        <f t="shared" si="15"/>
        <v/>
      </c>
      <c r="AJ617" s="2" t="s">
        <v>49</v>
      </c>
      <c r="AK617" s="2" t="s">
        <v>50</v>
      </c>
    </row>
    <row r="618" ht="15.75" customHeight="1">
      <c r="A618" s="2" t="s">
        <v>39</v>
      </c>
      <c r="B618" s="3" t="str">
        <f>HYPERLINK("https://www.senado.gob.ar/parlamentario/comisiones/verExp/254.25/S/PL","254")</f>
        <v>254</v>
      </c>
      <c r="C618" s="3" t="str">
        <f>HYPERLINK("https://www.senado.gob.ar/parlamentario/comisiones/verExp/254.25/S/PL","2025")</f>
        <v>2025</v>
      </c>
      <c r="D618" s="2" t="s">
        <v>56</v>
      </c>
      <c r="E618" s="2" t="s">
        <v>1294</v>
      </c>
      <c r="F618" s="2" t="s">
        <v>1292</v>
      </c>
      <c r="I618" s="2" t="s">
        <v>1293</v>
      </c>
      <c r="K618" s="2" t="s">
        <v>44</v>
      </c>
      <c r="L618" s="2" t="s">
        <v>1227</v>
      </c>
      <c r="N618" s="2" t="s">
        <v>1295</v>
      </c>
      <c r="O618" s="2">
        <v>78.0</v>
      </c>
      <c r="P618" s="2" t="s">
        <v>73</v>
      </c>
      <c r="Q618" s="2" t="s">
        <v>1255</v>
      </c>
      <c r="AI618" s="2" t="str">
        <f t="shared" si="15"/>
        <v/>
      </c>
      <c r="AJ618" s="2" t="s">
        <v>49</v>
      </c>
      <c r="AK618" s="2" t="s">
        <v>50</v>
      </c>
    </row>
    <row r="619" ht="15.75" customHeight="1">
      <c r="A619" s="2" t="s">
        <v>39</v>
      </c>
      <c r="B619" s="3" t="str">
        <f>HYPERLINK("https://www.senado.gob.ar/parlamentario/comisiones/verExp/253.25/S/PL","253")</f>
        <v>253</v>
      </c>
      <c r="C619" s="3" t="str">
        <f>HYPERLINK("https://www.senado.gob.ar/parlamentario/comisiones/verExp/253.25/S/PL","2025")</f>
        <v>2025</v>
      </c>
      <c r="D619" s="2" t="s">
        <v>56</v>
      </c>
      <c r="E619" s="2" t="s">
        <v>1296</v>
      </c>
      <c r="F619" s="2" t="s">
        <v>1292</v>
      </c>
      <c r="I619" s="2" t="s">
        <v>1293</v>
      </c>
      <c r="K619" s="2" t="s">
        <v>44</v>
      </c>
      <c r="L619" s="2" t="s">
        <v>1227</v>
      </c>
      <c r="N619" s="2" t="s">
        <v>1295</v>
      </c>
      <c r="O619" s="2">
        <v>78.0</v>
      </c>
      <c r="P619" s="2" t="s">
        <v>73</v>
      </c>
      <c r="Q619" s="2" t="s">
        <v>1255</v>
      </c>
      <c r="S619" s="2">
        <v>68.0</v>
      </c>
      <c r="T619" s="2" t="s">
        <v>180</v>
      </c>
      <c r="U619" s="2" t="s">
        <v>1255</v>
      </c>
      <c r="AI619" s="2" t="str">
        <f t="shared" si="15"/>
        <v/>
      </c>
      <c r="AJ619" s="2" t="s">
        <v>49</v>
      </c>
      <c r="AK619" s="2" t="s">
        <v>50</v>
      </c>
    </row>
    <row r="620" ht="15.75" customHeight="1">
      <c r="A620" s="2" t="s">
        <v>39</v>
      </c>
      <c r="B620" s="3" t="str">
        <f>HYPERLINK("https://www.senado.gob.ar/parlamentario/comisiones/verExp/249.25/S/PR","249")</f>
        <v>249</v>
      </c>
      <c r="C620" s="3" t="str">
        <f>HYPERLINK("https://www.senado.gob.ar/parlamentario/comisiones/verExp/249.25/S/PR","2025")</f>
        <v>2025</v>
      </c>
      <c r="D620" s="2" t="s">
        <v>145</v>
      </c>
      <c r="E620" s="2" t="s">
        <v>1297</v>
      </c>
      <c r="F620" s="2" t="s">
        <v>1292</v>
      </c>
      <c r="I620" s="2" t="s">
        <v>1293</v>
      </c>
      <c r="K620" s="2" t="s">
        <v>44</v>
      </c>
      <c r="L620" s="2" t="s">
        <v>1227</v>
      </c>
      <c r="N620" s="2" t="s">
        <v>1298</v>
      </c>
      <c r="O620" s="2">
        <v>50.0</v>
      </c>
      <c r="P620" s="2" t="s">
        <v>47</v>
      </c>
      <c r="Q620" s="2" t="s">
        <v>1255</v>
      </c>
      <c r="S620" s="2">
        <v>57.0</v>
      </c>
      <c r="T620" s="2" t="s">
        <v>123</v>
      </c>
      <c r="U620" s="2" t="s">
        <v>1255</v>
      </c>
      <c r="AI620" s="2" t="str">
        <f t="shared" si="15"/>
        <v/>
      </c>
      <c r="AJ620" s="2" t="s">
        <v>49</v>
      </c>
      <c r="AK620" s="2" t="s">
        <v>50</v>
      </c>
    </row>
    <row r="621" ht="15.75" customHeight="1">
      <c r="A621" s="2" t="s">
        <v>1141</v>
      </c>
      <c r="B621" s="3" t="str">
        <f>HYPERLINK("https://www.senado.gob.ar/parlamentario/comisiones/verExp/248.25/OV/CV","248")</f>
        <v>248</v>
      </c>
      <c r="C621" s="3" t="str">
        <f>HYPERLINK("https://www.senado.gob.ar/parlamentario/comisiones/verExp/248.25/OV/CV","2025")</f>
        <v>2025</v>
      </c>
      <c r="D621" s="2" t="s">
        <v>1142</v>
      </c>
      <c r="E621" s="2" t="s">
        <v>1299</v>
      </c>
      <c r="F621" s="2" t="s">
        <v>340</v>
      </c>
      <c r="I621" s="2" t="s">
        <v>1300</v>
      </c>
      <c r="K621" s="2" t="s">
        <v>44</v>
      </c>
      <c r="L621" s="2" t="s">
        <v>1300</v>
      </c>
      <c r="O621" s="2">
        <v>52.0</v>
      </c>
      <c r="P621" s="2" t="s">
        <v>78</v>
      </c>
      <c r="Q621" s="2" t="s">
        <v>1301</v>
      </c>
      <c r="AI621" s="2" t="str">
        <f t="shared" si="15"/>
        <v/>
      </c>
      <c r="AJ621" s="2" t="s">
        <v>49</v>
      </c>
      <c r="AK621" s="2" t="s">
        <v>50</v>
      </c>
    </row>
    <row r="622" ht="15.75" customHeight="1">
      <c r="A622" s="2" t="s">
        <v>39</v>
      </c>
      <c r="B622" s="3" t="str">
        <f>HYPERLINK("https://www.senado.gob.ar/parlamentario/comisiones/verExp/248.25/S/PL","248")</f>
        <v>248</v>
      </c>
      <c r="C622" s="3" t="str">
        <f>HYPERLINK("https://www.senado.gob.ar/parlamentario/comisiones/verExp/248.25/S/PL","2025")</f>
        <v>2025</v>
      </c>
      <c r="D622" s="2" t="s">
        <v>56</v>
      </c>
      <c r="E622" s="2" t="s">
        <v>1302</v>
      </c>
      <c r="F622" s="2" t="s">
        <v>1292</v>
      </c>
      <c r="I622" s="2" t="s">
        <v>1293</v>
      </c>
      <c r="K622" s="2" t="s">
        <v>44</v>
      </c>
      <c r="L622" s="2" t="s">
        <v>1227</v>
      </c>
      <c r="N622" s="2" t="s">
        <v>160</v>
      </c>
      <c r="O622" s="2">
        <v>75.0</v>
      </c>
      <c r="P622" s="2" t="s">
        <v>71</v>
      </c>
      <c r="Q622" s="2" t="s">
        <v>1255</v>
      </c>
      <c r="S622" s="2">
        <v>54.0</v>
      </c>
      <c r="T622" s="2" t="s">
        <v>65</v>
      </c>
      <c r="U622" s="2" t="s">
        <v>1255</v>
      </c>
      <c r="AI622" s="2" t="str">
        <f t="shared" si="15"/>
        <v/>
      </c>
      <c r="AJ622" s="2" t="s">
        <v>49</v>
      </c>
      <c r="AK622" s="2" t="s">
        <v>50</v>
      </c>
    </row>
    <row r="623" ht="15.75" customHeight="1">
      <c r="A623" s="2" t="s">
        <v>39</v>
      </c>
      <c r="B623" s="3" t="str">
        <f>HYPERLINK("https://www.senado.gob.ar/parlamentario/comisiones/verExp/247.25/S/PL","247")</f>
        <v>247</v>
      </c>
      <c r="C623" s="3" t="str">
        <f>HYPERLINK("https://www.senado.gob.ar/parlamentario/comisiones/verExp/247.25/S/PL","2025")</f>
        <v>2025</v>
      </c>
      <c r="D623" s="2" t="s">
        <v>56</v>
      </c>
      <c r="E623" s="2" t="s">
        <v>1303</v>
      </c>
      <c r="F623" s="2" t="s">
        <v>1292</v>
      </c>
      <c r="I623" s="2" t="s">
        <v>1293</v>
      </c>
      <c r="K623" s="2" t="s">
        <v>44</v>
      </c>
      <c r="L623" s="2" t="s">
        <v>1227</v>
      </c>
      <c r="N623" s="2" t="s">
        <v>160</v>
      </c>
      <c r="O623" s="2">
        <v>75.0</v>
      </c>
      <c r="P623" s="2" t="s">
        <v>71</v>
      </c>
      <c r="Q623" s="2" t="s">
        <v>1255</v>
      </c>
      <c r="S623" s="2">
        <v>54.0</v>
      </c>
      <c r="T623" s="2" t="s">
        <v>65</v>
      </c>
      <c r="U623" s="2" t="s">
        <v>1255</v>
      </c>
      <c r="AI623" s="2" t="str">
        <f t="shared" si="15"/>
        <v/>
      </c>
      <c r="AJ623" s="2" t="s">
        <v>49</v>
      </c>
      <c r="AK623" s="2" t="s">
        <v>50</v>
      </c>
    </row>
    <row r="624" ht="15.75" customHeight="1">
      <c r="A624" s="2" t="s">
        <v>39</v>
      </c>
      <c r="B624" s="3" t="str">
        <f>HYPERLINK("https://www.senado.gob.ar/parlamentario/comisiones/verExp/244.25/S/PL","244")</f>
        <v>244</v>
      </c>
      <c r="C624" s="3" t="str">
        <f>HYPERLINK("https://www.senado.gob.ar/parlamentario/comisiones/verExp/244.25/S/PL","2025")</f>
        <v>2025</v>
      </c>
      <c r="D624" s="2" t="s">
        <v>56</v>
      </c>
      <c r="E624" s="2" t="s">
        <v>1304</v>
      </c>
      <c r="F624" s="2" t="s">
        <v>1292</v>
      </c>
      <c r="I624" s="2" t="s">
        <v>1305</v>
      </c>
      <c r="K624" s="2" t="s">
        <v>44</v>
      </c>
      <c r="L624" s="2" t="s">
        <v>1227</v>
      </c>
      <c r="N624" s="2" t="s">
        <v>204</v>
      </c>
      <c r="O624" s="2">
        <v>55.0</v>
      </c>
      <c r="P624" s="2" t="s">
        <v>336</v>
      </c>
      <c r="Q624" s="2" t="s">
        <v>1255</v>
      </c>
      <c r="AI624" s="2" t="str">
        <f t="shared" si="15"/>
        <v/>
      </c>
      <c r="AJ624" s="2" t="s">
        <v>49</v>
      </c>
      <c r="AK624" s="2" t="s">
        <v>50</v>
      </c>
    </row>
    <row r="625" ht="15.75" customHeight="1">
      <c r="A625" s="2" t="s">
        <v>39</v>
      </c>
      <c r="B625" s="3" t="str">
        <f>HYPERLINK("https://www.senado.gob.ar/parlamentario/comisiones/verExp/242.25/S/PL","242")</f>
        <v>242</v>
      </c>
      <c r="C625" s="3" t="str">
        <f>HYPERLINK("https://www.senado.gob.ar/parlamentario/comisiones/verExp/242.25/S/PL","2025")</f>
        <v>2025</v>
      </c>
      <c r="D625" s="2" t="s">
        <v>56</v>
      </c>
      <c r="E625" s="2" t="s">
        <v>1306</v>
      </c>
      <c r="F625" s="2" t="s">
        <v>1292</v>
      </c>
      <c r="I625" s="2" t="s">
        <v>1305</v>
      </c>
      <c r="K625" s="2" t="s">
        <v>44</v>
      </c>
      <c r="L625" s="2" t="s">
        <v>1227</v>
      </c>
      <c r="N625" s="2" t="s">
        <v>1307</v>
      </c>
      <c r="O625" s="2">
        <v>73.0</v>
      </c>
      <c r="P625" s="2" t="s">
        <v>237</v>
      </c>
      <c r="Q625" s="2" t="s">
        <v>1255</v>
      </c>
      <c r="S625" s="2">
        <v>75.0</v>
      </c>
      <c r="T625" s="2" t="s">
        <v>71</v>
      </c>
      <c r="U625" s="2" t="s">
        <v>1255</v>
      </c>
      <c r="W625" s="2">
        <v>54.0</v>
      </c>
      <c r="X625" s="2" t="s">
        <v>65</v>
      </c>
      <c r="Y625" s="2" t="s">
        <v>1255</v>
      </c>
      <c r="AI625" s="2" t="str">
        <f t="shared" si="15"/>
        <v/>
      </c>
      <c r="AJ625" s="2" t="s">
        <v>49</v>
      </c>
      <c r="AK625" s="2" t="s">
        <v>50</v>
      </c>
    </row>
    <row r="626" ht="15.75" customHeight="1">
      <c r="A626" s="2" t="s">
        <v>39</v>
      </c>
      <c r="B626" s="3" t="str">
        <f>HYPERLINK("https://www.senado.gob.ar/parlamentario/comisiones/verExp/239.25/S/PL","239")</f>
        <v>239</v>
      </c>
      <c r="C626" s="3" t="str">
        <f>HYPERLINK("https://www.senado.gob.ar/parlamentario/comisiones/verExp/239.25/S/PL","2025")</f>
        <v>2025</v>
      </c>
      <c r="D626" s="2" t="s">
        <v>56</v>
      </c>
      <c r="E626" s="2" t="s">
        <v>1308</v>
      </c>
      <c r="F626" s="2" t="s">
        <v>1292</v>
      </c>
      <c r="I626" s="2" t="s">
        <v>1305</v>
      </c>
      <c r="K626" s="2" t="s">
        <v>44</v>
      </c>
      <c r="L626" s="2" t="s">
        <v>1227</v>
      </c>
      <c r="N626" s="2" t="s">
        <v>386</v>
      </c>
      <c r="O626" s="2">
        <v>61.0</v>
      </c>
      <c r="P626" s="2" t="s">
        <v>104</v>
      </c>
      <c r="Q626" s="2" t="s">
        <v>1255</v>
      </c>
      <c r="S626" s="2">
        <v>54.0</v>
      </c>
      <c r="T626" s="2" t="s">
        <v>65</v>
      </c>
      <c r="U626" s="2" t="s">
        <v>1255</v>
      </c>
      <c r="AI626" s="2" t="str">
        <f t="shared" si="15"/>
        <v/>
      </c>
      <c r="AJ626" s="2" t="s">
        <v>49</v>
      </c>
      <c r="AK626" s="2" t="s">
        <v>50</v>
      </c>
    </row>
    <row r="627" ht="15.75" customHeight="1">
      <c r="A627" s="2" t="s">
        <v>39</v>
      </c>
      <c r="B627" s="3" t="str">
        <f>HYPERLINK("https://www.senado.gob.ar/parlamentario/comisiones/verExp/236.25/S/PL","236")</f>
        <v>236</v>
      </c>
      <c r="C627" s="3" t="str">
        <f>HYPERLINK("https://www.senado.gob.ar/parlamentario/comisiones/verExp/236.25/S/PL","2025")</f>
        <v>2025</v>
      </c>
      <c r="D627" s="2" t="s">
        <v>56</v>
      </c>
      <c r="E627" s="2" t="s">
        <v>1309</v>
      </c>
      <c r="F627" s="2" t="s">
        <v>1310</v>
      </c>
      <c r="I627" s="2" t="s">
        <v>1305</v>
      </c>
      <c r="K627" s="2" t="s">
        <v>44</v>
      </c>
      <c r="L627" s="2" t="s">
        <v>1227</v>
      </c>
      <c r="N627" s="2" t="s">
        <v>1311</v>
      </c>
      <c r="O627" s="2">
        <v>75.0</v>
      </c>
      <c r="P627" s="2" t="s">
        <v>71</v>
      </c>
      <c r="Q627" s="2" t="s">
        <v>1255</v>
      </c>
      <c r="AI627" s="2" t="str">
        <f t="shared" si="15"/>
        <v/>
      </c>
      <c r="AJ627" s="2" t="s">
        <v>49</v>
      </c>
      <c r="AK627" s="2" t="s">
        <v>50</v>
      </c>
    </row>
    <row r="628" ht="15.75" customHeight="1">
      <c r="A628" s="2" t="s">
        <v>39</v>
      </c>
      <c r="B628" s="3" t="str">
        <f>HYPERLINK("https://www.senado.gob.ar/parlamentario/comisiones/verExp/234.25/S/PL","234")</f>
        <v>234</v>
      </c>
      <c r="C628" s="3" t="str">
        <f>HYPERLINK("https://www.senado.gob.ar/parlamentario/comisiones/verExp/234.25/S/PL","2025")</f>
        <v>2025</v>
      </c>
      <c r="D628" s="2" t="s">
        <v>56</v>
      </c>
      <c r="E628" s="2" t="s">
        <v>1312</v>
      </c>
      <c r="F628" s="2" t="s">
        <v>1310</v>
      </c>
      <c r="I628" s="2" t="s">
        <v>1313</v>
      </c>
      <c r="K628" s="2" t="s">
        <v>44</v>
      </c>
      <c r="L628" s="2" t="s">
        <v>1227</v>
      </c>
      <c r="N628" s="2" t="s">
        <v>1314</v>
      </c>
      <c r="O628" s="2">
        <v>54.0</v>
      </c>
      <c r="P628" s="2" t="s">
        <v>65</v>
      </c>
      <c r="Q628" s="2" t="s">
        <v>1255</v>
      </c>
      <c r="S628" s="2">
        <v>72.0</v>
      </c>
      <c r="T628" s="2" t="s">
        <v>243</v>
      </c>
      <c r="U628" s="2" t="s">
        <v>1255</v>
      </c>
      <c r="AI628" s="2" t="str">
        <f t="shared" si="15"/>
        <v/>
      </c>
      <c r="AJ628" s="2" t="s">
        <v>49</v>
      </c>
      <c r="AK628" s="2" t="s">
        <v>50</v>
      </c>
    </row>
    <row r="629" ht="15.75" customHeight="1">
      <c r="A629" s="2" t="s">
        <v>39</v>
      </c>
      <c r="B629" s="3" t="str">
        <f>HYPERLINK("https://www.senado.gob.ar/parlamentario/comisiones/verExp/228.25/S/PL","228")</f>
        <v>228</v>
      </c>
      <c r="C629" s="3" t="str">
        <f>HYPERLINK("https://www.senado.gob.ar/parlamentario/comisiones/verExp/228.25/S/PL","2025")</f>
        <v>2025</v>
      </c>
      <c r="D629" s="2" t="s">
        <v>56</v>
      </c>
      <c r="E629" s="2" t="s">
        <v>1315</v>
      </c>
      <c r="F629" s="2" t="s">
        <v>1310</v>
      </c>
      <c r="I629" s="2" t="s">
        <v>1313</v>
      </c>
      <c r="K629" s="2" t="s">
        <v>1316</v>
      </c>
      <c r="L629" s="2" t="s">
        <v>1317</v>
      </c>
      <c r="N629" s="2" t="s">
        <v>1318</v>
      </c>
      <c r="O629" s="2">
        <v>52.0</v>
      </c>
      <c r="P629" s="2" t="s">
        <v>78</v>
      </c>
      <c r="Q629" s="2" t="s">
        <v>1255</v>
      </c>
      <c r="R629" s="2" t="s">
        <v>1319</v>
      </c>
      <c r="S629" s="2">
        <v>52.0</v>
      </c>
      <c r="T629" s="2" t="s">
        <v>78</v>
      </c>
      <c r="U629" s="2" t="s">
        <v>659</v>
      </c>
      <c r="AI629" s="3" t="str">
        <f>HYPERLINK("https://www.senado.gob.ar/parlamentario/parlamentaria/ordenDelDiaResultadoLink/2025/204"," 204 2025 RB -")</f>
        <v> 204 2025 RB -</v>
      </c>
      <c r="AJ629" s="2" t="s">
        <v>49</v>
      </c>
      <c r="AK629" s="2" t="s">
        <v>50</v>
      </c>
    </row>
    <row r="630" ht="15.75" customHeight="1">
      <c r="A630" s="2" t="s">
        <v>39</v>
      </c>
      <c r="B630" s="3" t="str">
        <f>HYPERLINK("https://www.senado.gob.ar/parlamentario/comisiones/verExp/227.25/S/PL","227")</f>
        <v>227</v>
      </c>
      <c r="C630" s="3" t="str">
        <f>HYPERLINK("https://www.senado.gob.ar/parlamentario/comisiones/verExp/227.25/S/PL","2025")</f>
        <v>2025</v>
      </c>
      <c r="D630" s="2" t="s">
        <v>56</v>
      </c>
      <c r="E630" s="2" t="s">
        <v>1320</v>
      </c>
      <c r="F630" s="2" t="s">
        <v>1310</v>
      </c>
      <c r="I630" s="2" t="s">
        <v>1313</v>
      </c>
      <c r="K630" s="2" t="s">
        <v>44</v>
      </c>
      <c r="L630" s="2" t="s">
        <v>1227</v>
      </c>
      <c r="N630" s="2" t="s">
        <v>1321</v>
      </c>
      <c r="O630" s="2">
        <v>52.0</v>
      </c>
      <c r="P630" s="2" t="s">
        <v>78</v>
      </c>
      <c r="Q630" s="2" t="s">
        <v>1255</v>
      </c>
      <c r="AI630" s="2" t="str">
        <f t="shared" ref="AI630:AI633" si="16">HYPERLINK("","")</f>
        <v/>
      </c>
      <c r="AJ630" s="2" t="s">
        <v>49</v>
      </c>
      <c r="AK630" s="2" t="s">
        <v>50</v>
      </c>
    </row>
    <row r="631" ht="15.75" customHeight="1">
      <c r="A631" s="2" t="s">
        <v>1141</v>
      </c>
      <c r="B631" s="3" t="str">
        <f>HYPERLINK("https://www.senado.gob.ar/parlamentario/comisiones/verExp/225.25/OV/CA","225")</f>
        <v>225</v>
      </c>
      <c r="C631" s="3" t="str">
        <f>HYPERLINK("https://www.senado.gob.ar/parlamentario/comisiones/verExp/225.25/OV/CA","2025")</f>
        <v>2025</v>
      </c>
      <c r="D631" s="2" t="s">
        <v>1219</v>
      </c>
      <c r="E631" s="2" t="s">
        <v>1322</v>
      </c>
      <c r="F631" s="2" t="s">
        <v>399</v>
      </c>
      <c r="I631" s="2" t="s">
        <v>471</v>
      </c>
      <c r="K631" s="2" t="s">
        <v>44</v>
      </c>
      <c r="L631" s="2" t="s">
        <v>461</v>
      </c>
      <c r="O631" s="2">
        <v>100.0</v>
      </c>
      <c r="P631" s="2" t="s">
        <v>1146</v>
      </c>
      <c r="Q631" s="2" t="s">
        <v>1323</v>
      </c>
      <c r="AI631" s="2" t="str">
        <f t="shared" si="16"/>
        <v/>
      </c>
      <c r="AJ631" s="2" t="s">
        <v>49</v>
      </c>
      <c r="AK631" s="2" t="s">
        <v>50</v>
      </c>
    </row>
    <row r="632" ht="15.75" customHeight="1">
      <c r="A632" s="2" t="s">
        <v>39</v>
      </c>
      <c r="B632" s="3" t="str">
        <f>HYPERLINK("https://www.senado.gob.ar/parlamentario/comisiones/verExp/219.25/S/PL","219")</f>
        <v>219</v>
      </c>
      <c r="C632" s="3" t="str">
        <f>HYPERLINK("https://www.senado.gob.ar/parlamentario/comisiones/verExp/219.25/S/PL","2025")</f>
        <v>2025</v>
      </c>
      <c r="D632" s="2" t="s">
        <v>56</v>
      </c>
      <c r="E632" s="2" t="s">
        <v>1324</v>
      </c>
      <c r="F632" s="2" t="s">
        <v>1310</v>
      </c>
      <c r="I632" s="2" t="s">
        <v>1313</v>
      </c>
      <c r="K632" s="2" t="s">
        <v>44</v>
      </c>
      <c r="L632" s="2" t="s">
        <v>1227</v>
      </c>
      <c r="N632" s="2" t="s">
        <v>217</v>
      </c>
      <c r="O632" s="2">
        <v>70.0</v>
      </c>
      <c r="P632" s="2" t="s">
        <v>166</v>
      </c>
      <c r="Q632" s="2" t="s">
        <v>1255</v>
      </c>
      <c r="S632" s="2">
        <v>52.0</v>
      </c>
      <c r="T632" s="2" t="s">
        <v>78</v>
      </c>
      <c r="U632" s="2" t="s">
        <v>1255</v>
      </c>
      <c r="AI632" s="2" t="str">
        <f t="shared" si="16"/>
        <v/>
      </c>
      <c r="AJ632" s="2" t="s">
        <v>49</v>
      </c>
      <c r="AK632" s="2" t="s">
        <v>50</v>
      </c>
    </row>
    <row r="633" ht="15.75" customHeight="1">
      <c r="A633" s="2" t="s">
        <v>39</v>
      </c>
      <c r="B633" s="3" t="str">
        <f>HYPERLINK("https://www.senado.gob.ar/parlamentario/comisiones/verExp/214.25/S/PR","214")</f>
        <v>214</v>
      </c>
      <c r="C633" s="3" t="str">
        <f>HYPERLINK("https://www.senado.gob.ar/parlamentario/comisiones/verExp/214.25/S/PR","2025")</f>
        <v>2025</v>
      </c>
      <c r="D633" s="2" t="s">
        <v>145</v>
      </c>
      <c r="E633" s="2" t="s">
        <v>1325</v>
      </c>
      <c r="F633" s="2" t="s">
        <v>1326</v>
      </c>
      <c r="I633" s="2" t="s">
        <v>1313</v>
      </c>
      <c r="K633" s="2" t="s">
        <v>44</v>
      </c>
      <c r="L633" s="2" t="s">
        <v>1227</v>
      </c>
      <c r="N633" s="2" t="s">
        <v>409</v>
      </c>
      <c r="O633" s="2">
        <v>75.0</v>
      </c>
      <c r="P633" s="2" t="s">
        <v>71</v>
      </c>
      <c r="Q633" s="2" t="s">
        <v>1255</v>
      </c>
      <c r="S633" s="2">
        <v>54.0</v>
      </c>
      <c r="T633" s="2" t="s">
        <v>65</v>
      </c>
      <c r="U633" s="2" t="s">
        <v>1255</v>
      </c>
      <c r="AI633" s="2" t="str">
        <f t="shared" si="16"/>
        <v/>
      </c>
      <c r="AJ633" s="2" t="s">
        <v>49</v>
      </c>
      <c r="AK633" s="2" t="s">
        <v>50</v>
      </c>
    </row>
    <row r="634" ht="15.75" customHeight="1">
      <c r="A634" s="2" t="s">
        <v>39</v>
      </c>
      <c r="B634" s="3" t="str">
        <f>HYPERLINK("https://www.senado.gob.ar/parlamentario/comisiones/verExp/213.25/S/PL","213")</f>
        <v>213</v>
      </c>
      <c r="C634" s="3" t="str">
        <f>HYPERLINK("https://www.senado.gob.ar/parlamentario/comisiones/verExp/213.25/S/PL","2025")</f>
        <v>2025</v>
      </c>
      <c r="D634" s="2" t="s">
        <v>56</v>
      </c>
      <c r="E634" s="2" t="s">
        <v>1327</v>
      </c>
      <c r="F634" s="2" t="s">
        <v>1326</v>
      </c>
      <c r="I634" s="2" t="s">
        <v>1313</v>
      </c>
      <c r="K634" s="2" t="s">
        <v>1328</v>
      </c>
      <c r="L634" s="2" t="s">
        <v>1261</v>
      </c>
      <c r="N634" s="2" t="s">
        <v>409</v>
      </c>
      <c r="O634" s="2">
        <v>78.0</v>
      </c>
      <c r="P634" s="2" t="s">
        <v>73</v>
      </c>
      <c r="Q634" s="2" t="s">
        <v>1255</v>
      </c>
      <c r="R634" s="2" t="s">
        <v>911</v>
      </c>
      <c r="S634" s="2">
        <v>78.0</v>
      </c>
      <c r="T634" s="2" t="s">
        <v>73</v>
      </c>
      <c r="U634" s="2" t="s">
        <v>659</v>
      </c>
      <c r="AI634" s="3" t="str">
        <f>HYPERLINK("https://www.senado.gob.ar/parlamentario/parlamentaria/ordenDelDiaResultadoLink/2025/209"," 209 2025 RB -")</f>
        <v> 209 2025 RB -</v>
      </c>
      <c r="AJ634" s="2" t="s">
        <v>49</v>
      </c>
      <c r="AK634" s="2" t="s">
        <v>50</v>
      </c>
    </row>
    <row r="635" ht="15.75" customHeight="1">
      <c r="A635" s="2" t="s">
        <v>39</v>
      </c>
      <c r="B635" s="3" t="str">
        <f>HYPERLINK("https://www.senado.gob.ar/parlamentario/comisiones/verExp/210.25/S/PL","210")</f>
        <v>210</v>
      </c>
      <c r="C635" s="3" t="str">
        <f>HYPERLINK("https://www.senado.gob.ar/parlamentario/comisiones/verExp/210.25/S/PL","2025")</f>
        <v>2025</v>
      </c>
      <c r="D635" s="2" t="s">
        <v>56</v>
      </c>
      <c r="E635" s="2" t="s">
        <v>1329</v>
      </c>
      <c r="F635" s="2" t="s">
        <v>1326</v>
      </c>
      <c r="I635" s="2" t="s">
        <v>1313</v>
      </c>
      <c r="K635" s="2" t="s">
        <v>44</v>
      </c>
      <c r="L635" s="2" t="s">
        <v>1227</v>
      </c>
      <c r="N635" s="2" t="s">
        <v>160</v>
      </c>
      <c r="O635" s="2">
        <v>75.0</v>
      </c>
      <c r="P635" s="2" t="s">
        <v>71</v>
      </c>
      <c r="Q635" s="2" t="s">
        <v>1255</v>
      </c>
      <c r="AI635" s="2" t="str">
        <f t="shared" ref="AI635:AI761" si="17">HYPERLINK("","")</f>
        <v/>
      </c>
      <c r="AJ635" s="2" t="s">
        <v>49</v>
      </c>
      <c r="AK635" s="2" t="s">
        <v>50</v>
      </c>
    </row>
    <row r="636" ht="15.75" customHeight="1">
      <c r="A636" s="2" t="s">
        <v>39</v>
      </c>
      <c r="B636" s="3" t="str">
        <f>HYPERLINK("https://www.senado.gob.ar/parlamentario/comisiones/verExp/209.25/S/PL","209")</f>
        <v>209</v>
      </c>
      <c r="C636" s="3" t="str">
        <f>HYPERLINK("https://www.senado.gob.ar/parlamentario/comisiones/verExp/209.25/S/PL","2025")</f>
        <v>2025</v>
      </c>
      <c r="D636" s="2" t="s">
        <v>56</v>
      </c>
      <c r="E636" s="2" t="s">
        <v>1330</v>
      </c>
      <c r="F636" s="2" t="s">
        <v>1326</v>
      </c>
      <c r="I636" s="2" t="s">
        <v>1313</v>
      </c>
      <c r="K636" s="2" t="s">
        <v>44</v>
      </c>
      <c r="L636" s="2" t="s">
        <v>1227</v>
      </c>
      <c r="N636" s="2" t="s">
        <v>160</v>
      </c>
      <c r="O636" s="2">
        <v>52.0</v>
      </c>
      <c r="P636" s="2" t="s">
        <v>78</v>
      </c>
      <c r="Q636" s="2" t="s">
        <v>1255</v>
      </c>
      <c r="AI636" s="2" t="str">
        <f t="shared" si="17"/>
        <v/>
      </c>
      <c r="AJ636" s="2" t="s">
        <v>49</v>
      </c>
      <c r="AK636" s="2" t="s">
        <v>50</v>
      </c>
    </row>
    <row r="637" ht="15.75" customHeight="1">
      <c r="A637" s="2" t="s">
        <v>39</v>
      </c>
      <c r="B637" s="3" t="str">
        <f>HYPERLINK("https://www.senado.gob.ar/parlamentario/comisiones/verExp/208.25/S/PL","208")</f>
        <v>208</v>
      </c>
      <c r="C637" s="3" t="str">
        <f>HYPERLINK("https://www.senado.gob.ar/parlamentario/comisiones/verExp/208.25/S/PL","2025")</f>
        <v>2025</v>
      </c>
      <c r="D637" s="2" t="s">
        <v>56</v>
      </c>
      <c r="E637" s="2" t="s">
        <v>1331</v>
      </c>
      <c r="F637" s="2" t="s">
        <v>1326</v>
      </c>
      <c r="I637" s="2" t="s">
        <v>1313</v>
      </c>
      <c r="K637" s="2" t="s">
        <v>44</v>
      </c>
      <c r="L637" s="2" t="s">
        <v>1227</v>
      </c>
      <c r="N637" s="2" t="s">
        <v>160</v>
      </c>
      <c r="O637" s="2">
        <v>61.0</v>
      </c>
      <c r="P637" s="2" t="s">
        <v>104</v>
      </c>
      <c r="Q637" s="2" t="s">
        <v>1255</v>
      </c>
      <c r="AI637" s="2" t="str">
        <f t="shared" si="17"/>
        <v/>
      </c>
      <c r="AJ637" s="2" t="s">
        <v>49</v>
      </c>
      <c r="AK637" s="2" t="s">
        <v>50</v>
      </c>
    </row>
    <row r="638" ht="15.75" customHeight="1">
      <c r="A638" s="2" t="s">
        <v>39</v>
      </c>
      <c r="B638" s="3" t="str">
        <f>HYPERLINK("https://www.senado.gob.ar/parlamentario/comisiones/verExp/207.25/S/PL","207")</f>
        <v>207</v>
      </c>
      <c r="C638" s="3" t="str">
        <f>HYPERLINK("https://www.senado.gob.ar/parlamentario/comisiones/verExp/207.25/S/PL","2025")</f>
        <v>2025</v>
      </c>
      <c r="D638" s="2" t="s">
        <v>56</v>
      </c>
      <c r="E638" s="2" t="s">
        <v>1332</v>
      </c>
      <c r="F638" s="2" t="s">
        <v>1326</v>
      </c>
      <c r="I638" s="2" t="s">
        <v>1313</v>
      </c>
      <c r="K638" s="2" t="s">
        <v>44</v>
      </c>
      <c r="L638" s="2" t="s">
        <v>1227</v>
      </c>
      <c r="N638" s="2" t="s">
        <v>160</v>
      </c>
      <c r="O638" s="2">
        <v>53.0</v>
      </c>
      <c r="P638" s="2" t="s">
        <v>76</v>
      </c>
      <c r="Q638" s="2" t="s">
        <v>1255</v>
      </c>
      <c r="S638" s="2">
        <v>58.0</v>
      </c>
      <c r="T638" s="2" t="s">
        <v>194</v>
      </c>
      <c r="U638" s="2" t="s">
        <v>1255</v>
      </c>
      <c r="AI638" s="2" t="str">
        <f t="shared" si="17"/>
        <v/>
      </c>
      <c r="AJ638" s="2" t="s">
        <v>49</v>
      </c>
      <c r="AK638" s="2" t="s">
        <v>50</v>
      </c>
    </row>
    <row r="639" ht="15.75" customHeight="1">
      <c r="A639" s="2" t="s">
        <v>39</v>
      </c>
      <c r="B639" s="3" t="str">
        <f>HYPERLINK("https://www.senado.gob.ar/parlamentario/comisiones/verExp/206.25/S/PL","206")</f>
        <v>206</v>
      </c>
      <c r="C639" s="3" t="str">
        <f>HYPERLINK("https://www.senado.gob.ar/parlamentario/comisiones/verExp/206.25/S/PL","2025")</f>
        <v>2025</v>
      </c>
      <c r="D639" s="2" t="s">
        <v>56</v>
      </c>
      <c r="E639" s="2" t="s">
        <v>1333</v>
      </c>
      <c r="F639" s="2" t="s">
        <v>1326</v>
      </c>
      <c r="I639" s="2" t="s">
        <v>1313</v>
      </c>
      <c r="K639" s="2" t="s">
        <v>44</v>
      </c>
      <c r="L639" s="2" t="s">
        <v>1227</v>
      </c>
      <c r="N639" s="2" t="s">
        <v>160</v>
      </c>
      <c r="O639" s="2">
        <v>78.0</v>
      </c>
      <c r="P639" s="2" t="s">
        <v>73</v>
      </c>
      <c r="Q639" s="2" t="s">
        <v>1255</v>
      </c>
      <c r="AI639" s="2" t="str">
        <f t="shared" si="17"/>
        <v/>
      </c>
      <c r="AJ639" s="2" t="s">
        <v>49</v>
      </c>
      <c r="AK639" s="2" t="s">
        <v>50</v>
      </c>
    </row>
    <row r="640" ht="15.75" customHeight="1">
      <c r="A640" s="2" t="s">
        <v>1141</v>
      </c>
      <c r="B640" s="3" t="str">
        <f>HYPERLINK("https://www.senado.gob.ar/parlamentario/comisiones/verExp/204.25/OV/CV","204")</f>
        <v>204</v>
      </c>
      <c r="C640" s="3" t="str">
        <f>HYPERLINK("https://www.senado.gob.ar/parlamentario/comisiones/verExp/204.25/OV/CV","2025")</f>
        <v>2025</v>
      </c>
      <c r="D640" s="2" t="s">
        <v>1142</v>
      </c>
      <c r="E640" s="2" t="s">
        <v>1334</v>
      </c>
      <c r="F640" s="2" t="s">
        <v>535</v>
      </c>
      <c r="H640" s="2" t="s">
        <v>1335</v>
      </c>
      <c r="I640" s="2" t="s">
        <v>581</v>
      </c>
      <c r="O640" s="2">
        <v>50.0</v>
      </c>
      <c r="P640" s="2" t="s">
        <v>47</v>
      </c>
      <c r="AI640" s="2" t="str">
        <f t="shared" si="17"/>
        <v/>
      </c>
      <c r="AJ640" s="2" t="s">
        <v>49</v>
      </c>
      <c r="AK640" s="2" t="s">
        <v>50</v>
      </c>
      <c r="AM640" s="2" t="s">
        <v>1335</v>
      </c>
    </row>
    <row r="641" ht="15.75" customHeight="1">
      <c r="A641" s="2" t="s">
        <v>39</v>
      </c>
      <c r="B641" s="3" t="str">
        <f>HYPERLINK("https://www.senado.gob.ar/parlamentario/comisiones/verExp/204.25/S/PL","204")</f>
        <v>204</v>
      </c>
      <c r="C641" s="3" t="str">
        <f>HYPERLINK("https://www.senado.gob.ar/parlamentario/comisiones/verExp/204.25/S/PL","2025")</f>
        <v>2025</v>
      </c>
      <c r="D641" s="2" t="s">
        <v>56</v>
      </c>
      <c r="E641" s="2" t="s">
        <v>1336</v>
      </c>
      <c r="F641" s="2" t="s">
        <v>1326</v>
      </c>
      <c r="I641" s="2" t="s">
        <v>1313</v>
      </c>
      <c r="K641" s="2" t="s">
        <v>44</v>
      </c>
      <c r="L641" s="2" t="s">
        <v>1227</v>
      </c>
      <c r="N641" s="2" t="s">
        <v>380</v>
      </c>
      <c r="O641" s="2">
        <v>75.0</v>
      </c>
      <c r="P641" s="2" t="s">
        <v>71</v>
      </c>
      <c r="Q641" s="2" t="s">
        <v>1255</v>
      </c>
      <c r="S641" s="2">
        <v>69.0</v>
      </c>
      <c r="T641" s="2" t="s">
        <v>135</v>
      </c>
      <c r="U641" s="2" t="s">
        <v>1255</v>
      </c>
      <c r="AI641" s="2" t="str">
        <f t="shared" si="17"/>
        <v/>
      </c>
      <c r="AJ641" s="2" t="s">
        <v>49</v>
      </c>
      <c r="AK641" s="2" t="s">
        <v>50</v>
      </c>
    </row>
    <row r="642" ht="15.75" customHeight="1">
      <c r="A642" s="2" t="s">
        <v>39</v>
      </c>
      <c r="B642" s="3" t="str">
        <f>HYPERLINK("https://www.senado.gob.ar/parlamentario/comisiones/verExp/203.25/S/PL","203")</f>
        <v>203</v>
      </c>
      <c r="C642" s="3" t="str">
        <f>HYPERLINK("https://www.senado.gob.ar/parlamentario/comisiones/verExp/203.25/S/PL","2025")</f>
        <v>2025</v>
      </c>
      <c r="D642" s="2" t="s">
        <v>56</v>
      </c>
      <c r="E642" s="2" t="s">
        <v>1337</v>
      </c>
      <c r="F642" s="2" t="s">
        <v>1326</v>
      </c>
      <c r="I642" s="2" t="s">
        <v>1313</v>
      </c>
      <c r="K642" s="2" t="s">
        <v>44</v>
      </c>
      <c r="L642" s="2" t="s">
        <v>1227</v>
      </c>
      <c r="N642" s="2" t="s">
        <v>380</v>
      </c>
      <c r="O642" s="2">
        <v>75.0</v>
      </c>
      <c r="P642" s="2" t="s">
        <v>71</v>
      </c>
      <c r="Q642" s="2" t="s">
        <v>1255</v>
      </c>
      <c r="S642" s="2">
        <v>64.0</v>
      </c>
      <c r="T642" s="2" t="s">
        <v>186</v>
      </c>
      <c r="U642" s="2" t="s">
        <v>1255</v>
      </c>
      <c r="AI642" s="2" t="str">
        <f t="shared" si="17"/>
        <v/>
      </c>
      <c r="AJ642" s="2" t="s">
        <v>49</v>
      </c>
      <c r="AK642" s="2" t="s">
        <v>50</v>
      </c>
    </row>
    <row r="643" ht="15.75" customHeight="1">
      <c r="A643" s="2" t="s">
        <v>39</v>
      </c>
      <c r="B643" s="3" t="str">
        <f>HYPERLINK("https://www.senado.gob.ar/parlamentario/comisiones/verExp/202.25/S/PL","202")</f>
        <v>202</v>
      </c>
      <c r="C643" s="3" t="str">
        <f>HYPERLINK("https://www.senado.gob.ar/parlamentario/comisiones/verExp/202.25/S/PL","2025")</f>
        <v>2025</v>
      </c>
      <c r="D643" s="2" t="s">
        <v>56</v>
      </c>
      <c r="E643" s="2" t="s">
        <v>1338</v>
      </c>
      <c r="F643" s="2" t="s">
        <v>1326</v>
      </c>
      <c r="I643" s="2" t="s">
        <v>1313</v>
      </c>
      <c r="K643" s="2" t="s">
        <v>44</v>
      </c>
      <c r="L643" s="2" t="s">
        <v>1227</v>
      </c>
      <c r="N643" s="2" t="s">
        <v>380</v>
      </c>
      <c r="O643" s="2">
        <v>52.0</v>
      </c>
      <c r="P643" s="2" t="s">
        <v>78</v>
      </c>
      <c r="Q643" s="2" t="s">
        <v>1255</v>
      </c>
      <c r="AI643" s="2" t="str">
        <f t="shared" si="17"/>
        <v/>
      </c>
      <c r="AJ643" s="2" t="s">
        <v>49</v>
      </c>
      <c r="AK643" s="2" t="s">
        <v>50</v>
      </c>
    </row>
    <row r="644" ht="15.75" customHeight="1">
      <c r="A644" s="2" t="s">
        <v>39</v>
      </c>
      <c r="B644" s="3" t="str">
        <f>HYPERLINK("https://www.senado.gob.ar/parlamentario/comisiones/verExp/201.25/S/PL","201")</f>
        <v>201</v>
      </c>
      <c r="C644" s="3" t="str">
        <f>HYPERLINK("https://www.senado.gob.ar/parlamentario/comisiones/verExp/201.25/S/PL","2025")</f>
        <v>2025</v>
      </c>
      <c r="D644" s="2" t="s">
        <v>56</v>
      </c>
      <c r="E644" s="2" t="s">
        <v>1339</v>
      </c>
      <c r="F644" s="2" t="s">
        <v>1326</v>
      </c>
      <c r="I644" s="2" t="s">
        <v>1313</v>
      </c>
      <c r="K644" s="2" t="s">
        <v>44</v>
      </c>
      <c r="L644" s="2" t="s">
        <v>1227</v>
      </c>
      <c r="N644" s="2" t="s">
        <v>380</v>
      </c>
      <c r="O644" s="2">
        <v>52.0</v>
      </c>
      <c r="P644" s="2" t="s">
        <v>78</v>
      </c>
      <c r="Q644" s="2" t="s">
        <v>1255</v>
      </c>
      <c r="AI644" s="2" t="str">
        <f t="shared" si="17"/>
        <v/>
      </c>
      <c r="AJ644" s="2" t="s">
        <v>49</v>
      </c>
      <c r="AK644" s="2" t="s">
        <v>50</v>
      </c>
    </row>
    <row r="645" ht="15.75" customHeight="1">
      <c r="A645" s="2" t="s">
        <v>39</v>
      </c>
      <c r="B645" s="3" t="str">
        <f>HYPERLINK("https://www.senado.gob.ar/parlamentario/comisiones/verExp/200.25/S/PL","200")</f>
        <v>200</v>
      </c>
      <c r="C645" s="3" t="str">
        <f>HYPERLINK("https://www.senado.gob.ar/parlamentario/comisiones/verExp/200.25/S/PL","2025")</f>
        <v>2025</v>
      </c>
      <c r="D645" s="2" t="s">
        <v>56</v>
      </c>
      <c r="E645" s="2" t="s">
        <v>1340</v>
      </c>
      <c r="F645" s="2" t="s">
        <v>1326</v>
      </c>
      <c r="I645" s="2" t="s">
        <v>1313</v>
      </c>
      <c r="K645" s="2" t="s">
        <v>44</v>
      </c>
      <c r="L645" s="2" t="s">
        <v>1227</v>
      </c>
      <c r="N645" s="2" t="s">
        <v>380</v>
      </c>
      <c r="O645" s="2">
        <v>53.0</v>
      </c>
      <c r="P645" s="2" t="s">
        <v>76</v>
      </c>
      <c r="Q645" s="2" t="s">
        <v>1255</v>
      </c>
      <c r="S645" s="2">
        <v>64.0</v>
      </c>
      <c r="T645" s="2" t="s">
        <v>186</v>
      </c>
      <c r="U645" s="2" t="s">
        <v>1255</v>
      </c>
      <c r="AI645" s="2" t="str">
        <f t="shared" si="17"/>
        <v/>
      </c>
      <c r="AJ645" s="2" t="s">
        <v>49</v>
      </c>
      <c r="AK645" s="2" t="s">
        <v>50</v>
      </c>
    </row>
    <row r="646" ht="15.75" customHeight="1">
      <c r="A646" s="2" t="s">
        <v>39</v>
      </c>
      <c r="B646" s="3" t="str">
        <f>HYPERLINK("https://www.senado.gob.ar/parlamentario/comisiones/verExp/199.25/S/PL","199")</f>
        <v>199</v>
      </c>
      <c r="C646" s="3" t="str">
        <f>HYPERLINK("https://www.senado.gob.ar/parlamentario/comisiones/verExp/199.25/S/PL","2025")</f>
        <v>2025</v>
      </c>
      <c r="D646" s="2" t="s">
        <v>56</v>
      </c>
      <c r="E646" s="2" t="s">
        <v>1341</v>
      </c>
      <c r="F646" s="2" t="s">
        <v>1326</v>
      </c>
      <c r="I646" s="2" t="s">
        <v>1313</v>
      </c>
      <c r="K646" s="2" t="s">
        <v>44</v>
      </c>
      <c r="L646" s="2" t="s">
        <v>1227</v>
      </c>
      <c r="N646" s="2" t="s">
        <v>380</v>
      </c>
      <c r="O646" s="2">
        <v>53.0</v>
      </c>
      <c r="P646" s="2" t="s">
        <v>76</v>
      </c>
      <c r="Q646" s="2" t="s">
        <v>1255</v>
      </c>
      <c r="AI646" s="2" t="str">
        <f t="shared" si="17"/>
        <v/>
      </c>
      <c r="AJ646" s="2" t="s">
        <v>49</v>
      </c>
      <c r="AK646" s="2" t="s">
        <v>50</v>
      </c>
    </row>
    <row r="647" ht="15.75" customHeight="1">
      <c r="A647" s="2" t="s">
        <v>39</v>
      </c>
      <c r="B647" s="3" t="str">
        <f>HYPERLINK("https://www.senado.gob.ar/parlamentario/comisiones/verExp/197.25/S/PL","197")</f>
        <v>197</v>
      </c>
      <c r="C647" s="3" t="str">
        <f>HYPERLINK("https://www.senado.gob.ar/parlamentario/comisiones/verExp/197.25/S/PL","2025")</f>
        <v>2025</v>
      </c>
      <c r="D647" s="2" t="s">
        <v>56</v>
      </c>
      <c r="E647" s="2" t="s">
        <v>1342</v>
      </c>
      <c r="F647" s="2" t="s">
        <v>1343</v>
      </c>
      <c r="I647" s="2" t="s">
        <v>1344</v>
      </c>
      <c r="K647" s="2" t="s">
        <v>44</v>
      </c>
      <c r="L647" s="2" t="s">
        <v>1227</v>
      </c>
      <c r="N647" s="2" t="s">
        <v>437</v>
      </c>
      <c r="O647" s="2">
        <v>70.0</v>
      </c>
      <c r="P647" s="2" t="s">
        <v>166</v>
      </c>
      <c r="Q647" s="2" t="s">
        <v>1255</v>
      </c>
      <c r="S647" s="2">
        <v>54.0</v>
      </c>
      <c r="T647" s="2" t="s">
        <v>65</v>
      </c>
      <c r="U647" s="2" t="s">
        <v>1255</v>
      </c>
      <c r="W647" s="2">
        <v>50.0</v>
      </c>
      <c r="X647" s="2" t="s">
        <v>47</v>
      </c>
      <c r="Y647" s="2" t="s">
        <v>1255</v>
      </c>
      <c r="AI647" s="2" t="str">
        <f t="shared" si="17"/>
        <v/>
      </c>
      <c r="AJ647" s="2" t="s">
        <v>49</v>
      </c>
      <c r="AK647" s="2" t="s">
        <v>50</v>
      </c>
    </row>
    <row r="648" ht="15.75" customHeight="1">
      <c r="A648" s="2" t="s">
        <v>39</v>
      </c>
      <c r="B648" s="3" t="str">
        <f>HYPERLINK("https://www.senado.gob.ar/parlamentario/comisiones/verExp/196.25/S/PL","196")</f>
        <v>196</v>
      </c>
      <c r="C648" s="3" t="str">
        <f>HYPERLINK("https://www.senado.gob.ar/parlamentario/comisiones/verExp/196.25/S/PL","2025")</f>
        <v>2025</v>
      </c>
      <c r="D648" s="2" t="s">
        <v>56</v>
      </c>
      <c r="E648" s="2" t="s">
        <v>1345</v>
      </c>
      <c r="F648" s="2" t="s">
        <v>1343</v>
      </c>
      <c r="I648" s="2" t="s">
        <v>1344</v>
      </c>
      <c r="K648" s="2" t="s">
        <v>44</v>
      </c>
      <c r="L648" s="2" t="s">
        <v>1227</v>
      </c>
      <c r="N648" s="2" t="s">
        <v>380</v>
      </c>
      <c r="O648" s="2">
        <v>67.0</v>
      </c>
      <c r="P648" s="2" t="s">
        <v>84</v>
      </c>
      <c r="Q648" s="2" t="s">
        <v>1255</v>
      </c>
      <c r="S648" s="2">
        <v>58.0</v>
      </c>
      <c r="T648" s="2" t="s">
        <v>194</v>
      </c>
      <c r="U648" s="2" t="s">
        <v>1255</v>
      </c>
      <c r="AI648" s="2" t="str">
        <f t="shared" si="17"/>
        <v/>
      </c>
      <c r="AJ648" s="2" t="s">
        <v>49</v>
      </c>
      <c r="AK648" s="2" t="s">
        <v>50</v>
      </c>
    </row>
    <row r="649" ht="15.75" customHeight="1">
      <c r="A649" s="2" t="s">
        <v>39</v>
      </c>
      <c r="B649" s="3" t="str">
        <f>HYPERLINK("https://www.senado.gob.ar/parlamentario/comisiones/verExp/195.25/S/PL","195")</f>
        <v>195</v>
      </c>
      <c r="C649" s="3" t="str">
        <f>HYPERLINK("https://www.senado.gob.ar/parlamentario/comisiones/verExp/195.25/S/PL","2025")</f>
        <v>2025</v>
      </c>
      <c r="D649" s="2" t="s">
        <v>56</v>
      </c>
      <c r="E649" s="2" t="s">
        <v>1346</v>
      </c>
      <c r="F649" s="2" t="s">
        <v>1343</v>
      </c>
      <c r="I649" s="2" t="s">
        <v>1344</v>
      </c>
      <c r="K649" s="2" t="s">
        <v>44</v>
      </c>
      <c r="L649" s="2" t="s">
        <v>1227</v>
      </c>
      <c r="N649" s="2" t="s">
        <v>380</v>
      </c>
      <c r="O649" s="2">
        <v>67.0</v>
      </c>
      <c r="P649" s="2" t="s">
        <v>84</v>
      </c>
      <c r="Q649" s="2" t="s">
        <v>1255</v>
      </c>
      <c r="S649" s="2">
        <v>53.0</v>
      </c>
      <c r="T649" s="2" t="s">
        <v>76</v>
      </c>
      <c r="U649" s="2" t="s">
        <v>1255</v>
      </c>
      <c r="AI649" s="2" t="str">
        <f t="shared" si="17"/>
        <v/>
      </c>
      <c r="AJ649" s="2" t="s">
        <v>49</v>
      </c>
      <c r="AK649" s="2" t="s">
        <v>50</v>
      </c>
    </row>
    <row r="650" ht="15.75" customHeight="1">
      <c r="A650" s="2" t="s">
        <v>1347</v>
      </c>
      <c r="B650" s="3" t="str">
        <f>HYPERLINK("https://www.senado.gob.ar/parlamentario/comisiones/verExp/194.25/PE/DC","194")</f>
        <v>194</v>
      </c>
      <c r="C650" s="3" t="str">
        <f>HYPERLINK("https://www.senado.gob.ar/parlamentario/comisiones/verExp/194.25/PE/DC","2025")</f>
        <v>2025</v>
      </c>
      <c r="D650" s="2" t="s">
        <v>1348</v>
      </c>
      <c r="E650" s="2" t="s">
        <v>1349</v>
      </c>
      <c r="F650" s="2" t="s">
        <v>80</v>
      </c>
      <c r="I650" s="2" t="s">
        <v>1144</v>
      </c>
      <c r="K650" s="2" t="s">
        <v>44</v>
      </c>
      <c r="L650" s="2" t="s">
        <v>1145</v>
      </c>
      <c r="O650" s="2">
        <v>105.0</v>
      </c>
      <c r="P650" s="2" t="s">
        <v>1350</v>
      </c>
      <c r="Q650" s="2" t="s">
        <v>1147</v>
      </c>
      <c r="AI650" s="2" t="str">
        <f t="shared" si="17"/>
        <v/>
      </c>
      <c r="AJ650" s="2" t="s">
        <v>49</v>
      </c>
      <c r="AK650" s="2" t="s">
        <v>50</v>
      </c>
    </row>
    <row r="651" ht="15.75" customHeight="1">
      <c r="A651" s="2" t="s">
        <v>39</v>
      </c>
      <c r="B651" s="3" t="str">
        <f>HYPERLINK("https://www.senado.gob.ar/parlamentario/comisiones/verExp/194.25/S/PL","194")</f>
        <v>194</v>
      </c>
      <c r="C651" s="3" t="str">
        <f>HYPERLINK("https://www.senado.gob.ar/parlamentario/comisiones/verExp/194.25/S/PL","2025")</f>
        <v>2025</v>
      </c>
      <c r="D651" s="2" t="s">
        <v>56</v>
      </c>
      <c r="E651" s="2" t="s">
        <v>1351</v>
      </c>
      <c r="F651" s="2" t="s">
        <v>1343</v>
      </c>
      <c r="I651" s="2" t="s">
        <v>1344</v>
      </c>
      <c r="K651" s="2" t="s">
        <v>44</v>
      </c>
      <c r="L651" s="2" t="s">
        <v>1227</v>
      </c>
      <c r="N651" s="2" t="s">
        <v>380</v>
      </c>
      <c r="O651" s="2">
        <v>52.0</v>
      </c>
      <c r="P651" s="2" t="s">
        <v>78</v>
      </c>
      <c r="Q651" s="2" t="s">
        <v>1255</v>
      </c>
      <c r="AI651" s="2" t="str">
        <f t="shared" si="17"/>
        <v/>
      </c>
      <c r="AJ651" s="2" t="s">
        <v>49</v>
      </c>
      <c r="AK651" s="2" t="s">
        <v>50</v>
      </c>
    </row>
    <row r="652" ht="15.75" customHeight="1">
      <c r="A652" s="2" t="s">
        <v>1141</v>
      </c>
      <c r="B652" s="3" t="str">
        <f>HYPERLINK("https://www.senado.gob.ar/parlamentario/comisiones/verExp/193.25/OV/CA","193")</f>
        <v>193</v>
      </c>
      <c r="C652" s="3" t="str">
        <f>HYPERLINK("https://www.senado.gob.ar/parlamentario/comisiones/verExp/193.25/OV/CA","2025")</f>
        <v>2025</v>
      </c>
      <c r="D652" s="2" t="s">
        <v>1219</v>
      </c>
      <c r="E652" s="2" t="s">
        <v>1352</v>
      </c>
      <c r="F652" s="2" t="s">
        <v>602</v>
      </c>
      <c r="I652" s="2" t="s">
        <v>617</v>
      </c>
      <c r="K652" s="2" t="s">
        <v>44</v>
      </c>
      <c r="L652" s="2" t="s">
        <v>617</v>
      </c>
      <c r="O652" s="2">
        <v>100.0</v>
      </c>
      <c r="P652" s="2" t="s">
        <v>1146</v>
      </c>
      <c r="Q652" s="2" t="s">
        <v>624</v>
      </c>
      <c r="AI652" s="2" t="str">
        <f t="shared" si="17"/>
        <v/>
      </c>
      <c r="AJ652" s="2" t="s">
        <v>49</v>
      </c>
      <c r="AK652" s="2" t="s">
        <v>50</v>
      </c>
    </row>
    <row r="653" ht="15.75" customHeight="1">
      <c r="A653" s="2" t="s">
        <v>1347</v>
      </c>
      <c r="B653" s="3" t="str">
        <f>HYPERLINK("https://www.senado.gob.ar/parlamentario/comisiones/verExp/193.25/PE/CE","193")</f>
        <v>193</v>
      </c>
      <c r="C653" s="3" t="str">
        <f>HYPERLINK("https://www.senado.gob.ar/parlamentario/comisiones/verExp/193.25/PE/CE","2025")</f>
        <v>2025</v>
      </c>
      <c r="D653" s="2" t="s">
        <v>1353</v>
      </c>
      <c r="E653" s="2" t="s">
        <v>1354</v>
      </c>
      <c r="F653" s="2" t="s">
        <v>340</v>
      </c>
      <c r="I653" s="2" t="s">
        <v>1355</v>
      </c>
      <c r="K653" s="2" t="s">
        <v>44</v>
      </c>
      <c r="L653" s="2" t="s">
        <v>1145</v>
      </c>
      <c r="O653" s="2">
        <v>69.0</v>
      </c>
      <c r="P653" s="2" t="s">
        <v>135</v>
      </c>
      <c r="Q653" s="2" t="s">
        <v>1147</v>
      </c>
      <c r="AI653" s="2" t="str">
        <f t="shared" si="17"/>
        <v/>
      </c>
      <c r="AJ653" s="2" t="s">
        <v>49</v>
      </c>
      <c r="AK653" s="2" t="s">
        <v>50</v>
      </c>
    </row>
    <row r="654" ht="15.75" customHeight="1">
      <c r="A654" s="2" t="s">
        <v>39</v>
      </c>
      <c r="B654" s="3" t="str">
        <f>HYPERLINK("https://www.senado.gob.ar/parlamentario/comisiones/verExp/193.25/S/PL","193")</f>
        <v>193</v>
      </c>
      <c r="C654" s="3" t="str">
        <f>HYPERLINK("https://www.senado.gob.ar/parlamentario/comisiones/verExp/193.25/S/PL","2025")</f>
        <v>2025</v>
      </c>
      <c r="D654" s="2" t="s">
        <v>56</v>
      </c>
      <c r="E654" s="2" t="s">
        <v>1356</v>
      </c>
      <c r="F654" s="2" t="s">
        <v>1343</v>
      </c>
      <c r="I654" s="2" t="s">
        <v>1344</v>
      </c>
      <c r="K654" s="2" t="s">
        <v>44</v>
      </c>
      <c r="L654" s="2" t="s">
        <v>1227</v>
      </c>
      <c r="N654" s="2" t="s">
        <v>380</v>
      </c>
      <c r="O654" s="2">
        <v>75.0</v>
      </c>
      <c r="P654" s="2" t="s">
        <v>71</v>
      </c>
      <c r="Q654" s="2" t="s">
        <v>1255</v>
      </c>
      <c r="S654" s="2">
        <v>69.0</v>
      </c>
      <c r="T654" s="2" t="s">
        <v>135</v>
      </c>
      <c r="U654" s="2" t="s">
        <v>1255</v>
      </c>
      <c r="W654" s="2">
        <v>54.0</v>
      </c>
      <c r="X654" s="2" t="s">
        <v>65</v>
      </c>
      <c r="Y654" s="2" t="s">
        <v>1255</v>
      </c>
      <c r="AI654" s="2" t="str">
        <f t="shared" si="17"/>
        <v/>
      </c>
      <c r="AJ654" s="2" t="s">
        <v>49</v>
      </c>
      <c r="AK654" s="2" t="s">
        <v>50</v>
      </c>
    </row>
    <row r="655" ht="15.75" customHeight="1">
      <c r="A655" s="2" t="s">
        <v>39</v>
      </c>
      <c r="B655" s="3" t="str">
        <f>HYPERLINK("https://www.senado.gob.ar/parlamentario/comisiones/verExp/192.25/S/PL","192")</f>
        <v>192</v>
      </c>
      <c r="C655" s="3" t="str">
        <f>HYPERLINK("https://www.senado.gob.ar/parlamentario/comisiones/verExp/192.25/S/PL","2025")</f>
        <v>2025</v>
      </c>
      <c r="D655" s="2" t="s">
        <v>56</v>
      </c>
      <c r="E655" s="2" t="s">
        <v>1357</v>
      </c>
      <c r="F655" s="2" t="s">
        <v>1343</v>
      </c>
      <c r="I655" s="2" t="s">
        <v>1344</v>
      </c>
      <c r="K655" s="2" t="s">
        <v>44</v>
      </c>
      <c r="L655" s="2" t="s">
        <v>1227</v>
      </c>
      <c r="N655" s="2" t="s">
        <v>380</v>
      </c>
      <c r="O655" s="2">
        <v>57.0</v>
      </c>
      <c r="P655" s="2" t="s">
        <v>123</v>
      </c>
      <c r="Q655" s="2" t="s">
        <v>1255</v>
      </c>
      <c r="S655" s="2">
        <v>76.0</v>
      </c>
      <c r="T655" s="2" t="s">
        <v>233</v>
      </c>
      <c r="U655" s="2" t="s">
        <v>1255</v>
      </c>
      <c r="AI655" s="2" t="str">
        <f t="shared" si="17"/>
        <v/>
      </c>
      <c r="AJ655" s="2" t="s">
        <v>49</v>
      </c>
      <c r="AK655" s="2" t="s">
        <v>50</v>
      </c>
    </row>
    <row r="656" ht="15.75" customHeight="1">
      <c r="A656" s="2" t="s">
        <v>39</v>
      </c>
      <c r="B656" s="3" t="str">
        <f>HYPERLINK("https://www.senado.gob.ar/parlamentario/comisiones/verExp/191.25/S/PL","191")</f>
        <v>191</v>
      </c>
      <c r="C656" s="3" t="str">
        <f>HYPERLINK("https://www.senado.gob.ar/parlamentario/comisiones/verExp/191.25/S/PL","2025")</f>
        <v>2025</v>
      </c>
      <c r="D656" s="2" t="s">
        <v>56</v>
      </c>
      <c r="E656" s="2" t="s">
        <v>1358</v>
      </c>
      <c r="F656" s="2" t="s">
        <v>1343</v>
      </c>
      <c r="I656" s="2" t="s">
        <v>1344</v>
      </c>
      <c r="K656" s="2" t="s">
        <v>44</v>
      </c>
      <c r="L656" s="2" t="s">
        <v>1227</v>
      </c>
      <c r="N656" s="2" t="s">
        <v>380</v>
      </c>
      <c r="O656" s="2">
        <v>67.0</v>
      </c>
      <c r="P656" s="2" t="s">
        <v>84</v>
      </c>
      <c r="Q656" s="2" t="s">
        <v>1255</v>
      </c>
      <c r="AI656" s="2" t="str">
        <f t="shared" si="17"/>
        <v/>
      </c>
      <c r="AJ656" s="2" t="s">
        <v>49</v>
      </c>
      <c r="AK656" s="2" t="s">
        <v>50</v>
      </c>
    </row>
    <row r="657" ht="15.75" customHeight="1">
      <c r="A657" s="2" t="s">
        <v>39</v>
      </c>
      <c r="B657" s="3" t="str">
        <f>HYPERLINK("https://www.senado.gob.ar/parlamentario/comisiones/verExp/190.25/S/PL","190")</f>
        <v>190</v>
      </c>
      <c r="C657" s="3" t="str">
        <f>HYPERLINK("https://www.senado.gob.ar/parlamentario/comisiones/verExp/190.25/S/PL","2025")</f>
        <v>2025</v>
      </c>
      <c r="D657" s="2" t="s">
        <v>56</v>
      </c>
      <c r="E657" s="2" t="s">
        <v>1359</v>
      </c>
      <c r="F657" s="2" t="s">
        <v>1343</v>
      </c>
      <c r="I657" s="2" t="s">
        <v>1344</v>
      </c>
      <c r="K657" s="2" t="s">
        <v>44</v>
      </c>
      <c r="L657" s="2" t="s">
        <v>1227</v>
      </c>
      <c r="N657" s="2" t="s">
        <v>380</v>
      </c>
      <c r="O657" s="2">
        <v>53.0</v>
      </c>
      <c r="P657" s="2" t="s">
        <v>76</v>
      </c>
      <c r="Q657" s="2" t="s">
        <v>1255</v>
      </c>
      <c r="S657" s="2">
        <v>70.0</v>
      </c>
      <c r="T657" s="2" t="s">
        <v>166</v>
      </c>
      <c r="U657" s="2" t="s">
        <v>1255</v>
      </c>
      <c r="AI657" s="2" t="str">
        <f t="shared" si="17"/>
        <v/>
      </c>
      <c r="AJ657" s="2" t="s">
        <v>49</v>
      </c>
      <c r="AK657" s="2" t="s">
        <v>50</v>
      </c>
    </row>
    <row r="658" ht="15.75" customHeight="1">
      <c r="A658" s="2" t="s">
        <v>1347</v>
      </c>
      <c r="B658" s="3" t="str">
        <f>HYPERLINK("https://www.senado.gob.ar/parlamentario/comisiones/verExp/189.25/PE/DC","189")</f>
        <v>189</v>
      </c>
      <c r="C658" s="3" t="str">
        <f>HYPERLINK("https://www.senado.gob.ar/parlamentario/comisiones/verExp/189.25/PE/DC","2025")</f>
        <v>2025</v>
      </c>
      <c r="D658" s="2" t="s">
        <v>1348</v>
      </c>
      <c r="E658" s="2" t="s">
        <v>1360</v>
      </c>
      <c r="F658" s="2" t="s">
        <v>80</v>
      </c>
      <c r="I658" s="2" t="s">
        <v>1361</v>
      </c>
      <c r="K658" s="2" t="s">
        <v>44</v>
      </c>
      <c r="L658" s="2" t="s">
        <v>1361</v>
      </c>
      <c r="O658" s="2">
        <v>105.0</v>
      </c>
      <c r="P658" s="2" t="s">
        <v>1350</v>
      </c>
      <c r="Q658" s="2" t="s">
        <v>1362</v>
      </c>
      <c r="AI658" s="2" t="str">
        <f t="shared" si="17"/>
        <v/>
      </c>
      <c r="AJ658" s="2" t="s">
        <v>49</v>
      </c>
      <c r="AK658" s="2" t="s">
        <v>50</v>
      </c>
    </row>
    <row r="659" ht="15.75" customHeight="1">
      <c r="A659" s="2" t="s">
        <v>39</v>
      </c>
      <c r="B659" s="3" t="str">
        <f>HYPERLINK("https://www.senado.gob.ar/parlamentario/comisiones/verExp/189.25/S/PL","189")</f>
        <v>189</v>
      </c>
      <c r="C659" s="3" t="str">
        <f>HYPERLINK("https://www.senado.gob.ar/parlamentario/comisiones/verExp/189.25/S/PL","2025")</f>
        <v>2025</v>
      </c>
      <c r="D659" s="2" t="s">
        <v>56</v>
      </c>
      <c r="E659" s="2" t="s">
        <v>1363</v>
      </c>
      <c r="F659" s="2" t="s">
        <v>1343</v>
      </c>
      <c r="I659" s="2" t="s">
        <v>1344</v>
      </c>
      <c r="K659" s="2" t="s">
        <v>44</v>
      </c>
      <c r="L659" s="2" t="s">
        <v>1227</v>
      </c>
      <c r="N659" s="2" t="s">
        <v>380</v>
      </c>
      <c r="O659" s="2">
        <v>75.0</v>
      </c>
      <c r="P659" s="2" t="s">
        <v>71</v>
      </c>
      <c r="Q659" s="2" t="s">
        <v>1255</v>
      </c>
      <c r="S659" s="2">
        <v>54.0</v>
      </c>
      <c r="T659" s="2" t="s">
        <v>65</v>
      </c>
      <c r="U659" s="2" t="s">
        <v>1255</v>
      </c>
      <c r="AI659" s="2" t="str">
        <f t="shared" si="17"/>
        <v/>
      </c>
      <c r="AJ659" s="2" t="s">
        <v>49</v>
      </c>
      <c r="AK659" s="2" t="s">
        <v>50</v>
      </c>
    </row>
    <row r="660" ht="15.75" customHeight="1">
      <c r="A660" s="2" t="s">
        <v>1347</v>
      </c>
      <c r="B660" s="3" t="str">
        <f>HYPERLINK("https://www.senado.gob.ar/parlamentario/comisiones/verExp/188.25/PE/DC","188")</f>
        <v>188</v>
      </c>
      <c r="C660" s="3" t="str">
        <f>HYPERLINK("https://www.senado.gob.ar/parlamentario/comisiones/verExp/188.25/PE/DC","2025")</f>
        <v>2025</v>
      </c>
      <c r="D660" s="2" t="s">
        <v>1348</v>
      </c>
      <c r="E660" s="2" t="s">
        <v>1364</v>
      </c>
      <c r="F660" s="2" t="s">
        <v>80</v>
      </c>
      <c r="I660" s="2" t="s">
        <v>81</v>
      </c>
      <c r="K660" s="2" t="s">
        <v>44</v>
      </c>
      <c r="L660" s="2" t="s">
        <v>1361</v>
      </c>
      <c r="O660" s="2">
        <v>105.0</v>
      </c>
      <c r="P660" s="2" t="s">
        <v>1350</v>
      </c>
      <c r="Q660" s="2" t="s">
        <v>1362</v>
      </c>
      <c r="AI660" s="2" t="str">
        <f t="shared" si="17"/>
        <v/>
      </c>
      <c r="AJ660" s="2" t="s">
        <v>49</v>
      </c>
      <c r="AK660" s="2" t="s">
        <v>50</v>
      </c>
    </row>
    <row r="661" ht="15.75" customHeight="1">
      <c r="A661" s="2" t="s">
        <v>1347</v>
      </c>
      <c r="B661" s="3" t="str">
        <f>HYPERLINK("https://www.senado.gob.ar/parlamentario/comisiones/verExp/187.25/PE/DC","187")</f>
        <v>187</v>
      </c>
      <c r="C661" s="3" t="str">
        <f>HYPERLINK("https://www.senado.gob.ar/parlamentario/comisiones/verExp/187.25/PE/DC","2025")</f>
        <v>2025</v>
      </c>
      <c r="D661" s="2" t="s">
        <v>1348</v>
      </c>
      <c r="E661" s="2" t="s">
        <v>1365</v>
      </c>
      <c r="F661" s="2" t="s">
        <v>80</v>
      </c>
      <c r="I661" s="2" t="s">
        <v>95</v>
      </c>
      <c r="K661" s="2" t="s">
        <v>44</v>
      </c>
      <c r="L661" s="2" t="s">
        <v>81</v>
      </c>
      <c r="O661" s="2">
        <v>105.0</v>
      </c>
      <c r="P661" s="2" t="s">
        <v>1350</v>
      </c>
      <c r="Q661" s="2" t="s">
        <v>89</v>
      </c>
      <c r="AI661" s="2" t="str">
        <f t="shared" si="17"/>
        <v/>
      </c>
      <c r="AJ661" s="2" t="s">
        <v>49</v>
      </c>
      <c r="AK661" s="2" t="s">
        <v>50</v>
      </c>
    </row>
    <row r="662" ht="15.75" customHeight="1">
      <c r="A662" s="2" t="s">
        <v>1141</v>
      </c>
      <c r="B662" s="3" t="str">
        <f>HYPERLINK("https://www.senado.gob.ar/parlamentario/comisiones/verExp/186.25/OV/CA","186")</f>
        <v>186</v>
      </c>
      <c r="C662" s="3" t="str">
        <f>HYPERLINK("https://www.senado.gob.ar/parlamentario/comisiones/verExp/186.25/OV/CA","2025")</f>
        <v>2025</v>
      </c>
      <c r="D662" s="2" t="s">
        <v>1219</v>
      </c>
      <c r="E662" s="2" t="s">
        <v>1366</v>
      </c>
      <c r="F662" s="2" t="s">
        <v>602</v>
      </c>
      <c r="I662" s="2" t="s">
        <v>630</v>
      </c>
      <c r="K662" s="2" t="s">
        <v>44</v>
      </c>
      <c r="L662" s="2" t="s">
        <v>627</v>
      </c>
      <c r="O662" s="2">
        <v>100.0</v>
      </c>
      <c r="P662" s="2" t="s">
        <v>1146</v>
      </c>
      <c r="Q662" s="2" t="s">
        <v>829</v>
      </c>
      <c r="AI662" s="2" t="str">
        <f t="shared" si="17"/>
        <v/>
      </c>
      <c r="AJ662" s="2" t="s">
        <v>49</v>
      </c>
      <c r="AK662" s="2" t="s">
        <v>50</v>
      </c>
    </row>
    <row r="663" ht="15.75" customHeight="1">
      <c r="A663" s="2" t="s">
        <v>1347</v>
      </c>
      <c r="B663" s="3" t="str">
        <f>HYPERLINK("https://www.senado.gob.ar/parlamentario/comisiones/verExp/185.25/PE/CE","185")</f>
        <v>185</v>
      </c>
      <c r="C663" s="3" t="str">
        <f>HYPERLINK("https://www.senado.gob.ar/parlamentario/comisiones/verExp/185.25/PE/CE","2025")</f>
        <v>2025</v>
      </c>
      <c r="D663" s="2" t="s">
        <v>1353</v>
      </c>
      <c r="E663" s="2" t="s">
        <v>1367</v>
      </c>
      <c r="F663" s="2" t="s">
        <v>340</v>
      </c>
      <c r="I663" s="2" t="s">
        <v>1368</v>
      </c>
      <c r="K663" s="2" t="s">
        <v>44</v>
      </c>
      <c r="L663" s="2" t="s">
        <v>1368</v>
      </c>
      <c r="O663" s="2">
        <v>54.0</v>
      </c>
      <c r="P663" s="2" t="s">
        <v>65</v>
      </c>
      <c r="Q663" s="2" t="s">
        <v>1369</v>
      </c>
      <c r="S663" s="2">
        <v>474.0</v>
      </c>
      <c r="T663" s="2" t="s">
        <v>1370</v>
      </c>
      <c r="U663" s="2" t="s">
        <v>1369</v>
      </c>
      <c r="AI663" s="2" t="str">
        <f t="shared" si="17"/>
        <v/>
      </c>
      <c r="AJ663" s="2" t="s">
        <v>49</v>
      </c>
      <c r="AK663" s="2" t="s">
        <v>50</v>
      </c>
    </row>
    <row r="664" ht="15.75" customHeight="1">
      <c r="A664" s="2" t="s">
        <v>1347</v>
      </c>
      <c r="B664" s="3" t="str">
        <f>HYPERLINK("https://www.senado.gob.ar/parlamentario/comisiones/verExp/184.25/PE/DC","184")</f>
        <v>184</v>
      </c>
      <c r="C664" s="3" t="str">
        <f>HYPERLINK("https://www.senado.gob.ar/parlamentario/comisiones/verExp/184.25/PE/DC","2025")</f>
        <v>2025</v>
      </c>
      <c r="D664" s="2" t="s">
        <v>1348</v>
      </c>
      <c r="E664" s="2" t="s">
        <v>1371</v>
      </c>
      <c r="F664" s="2" t="s">
        <v>101</v>
      </c>
      <c r="I664" s="2" t="s">
        <v>1372</v>
      </c>
      <c r="K664" s="2" t="s">
        <v>44</v>
      </c>
      <c r="L664" s="2" t="s">
        <v>1368</v>
      </c>
      <c r="O664" s="2">
        <v>105.0</v>
      </c>
      <c r="P664" s="2" t="s">
        <v>1350</v>
      </c>
      <c r="Q664" s="2" t="s">
        <v>1369</v>
      </c>
      <c r="AI664" s="2" t="str">
        <f t="shared" si="17"/>
        <v/>
      </c>
      <c r="AJ664" s="2" t="s">
        <v>49</v>
      </c>
      <c r="AK664" s="2" t="s">
        <v>50</v>
      </c>
    </row>
    <row r="665" ht="15.75" customHeight="1">
      <c r="A665" s="2" t="s">
        <v>39</v>
      </c>
      <c r="B665" s="3" t="str">
        <f>HYPERLINK("https://www.senado.gob.ar/parlamentario/comisiones/verExp/183.25/S/PL","183")</f>
        <v>183</v>
      </c>
      <c r="C665" s="3" t="str">
        <f>HYPERLINK("https://www.senado.gob.ar/parlamentario/comisiones/verExp/183.25/S/PL","2025")</f>
        <v>2025</v>
      </c>
      <c r="D665" s="2" t="s">
        <v>56</v>
      </c>
      <c r="E665" s="2" t="s">
        <v>1373</v>
      </c>
      <c r="F665" s="2" t="s">
        <v>1343</v>
      </c>
      <c r="I665" s="2" t="s">
        <v>1344</v>
      </c>
      <c r="K665" s="2" t="s">
        <v>44</v>
      </c>
      <c r="L665" s="2" t="s">
        <v>1227</v>
      </c>
      <c r="N665" s="2" t="s">
        <v>1374</v>
      </c>
      <c r="O665" s="2">
        <v>78.0</v>
      </c>
      <c r="P665" s="2" t="s">
        <v>73</v>
      </c>
      <c r="Q665" s="2" t="s">
        <v>1255</v>
      </c>
      <c r="S665" s="2">
        <v>61.0</v>
      </c>
      <c r="T665" s="2" t="s">
        <v>104</v>
      </c>
      <c r="U665" s="2" t="s">
        <v>1255</v>
      </c>
      <c r="W665" s="2">
        <v>54.0</v>
      </c>
      <c r="X665" s="2" t="s">
        <v>65</v>
      </c>
      <c r="Y665" s="2" t="s">
        <v>1255</v>
      </c>
      <c r="AI665" s="2" t="str">
        <f t="shared" si="17"/>
        <v/>
      </c>
      <c r="AJ665" s="2" t="s">
        <v>49</v>
      </c>
      <c r="AK665" s="2" t="s">
        <v>50</v>
      </c>
    </row>
    <row r="666" ht="15.75" customHeight="1">
      <c r="A666" s="2" t="s">
        <v>1347</v>
      </c>
      <c r="B666" s="3" t="str">
        <f>HYPERLINK("https://www.senado.gob.ar/parlamentario/comisiones/verExp/181.25/PE/DC","181")</f>
        <v>181</v>
      </c>
      <c r="C666" s="3" t="str">
        <f>HYPERLINK("https://www.senado.gob.ar/parlamentario/comisiones/verExp/181.25/PE/DC","2025")</f>
        <v>2025</v>
      </c>
      <c r="D666" s="2" t="s">
        <v>1348</v>
      </c>
      <c r="E666" s="2" t="s">
        <v>1375</v>
      </c>
      <c r="F666" s="2" t="s">
        <v>101</v>
      </c>
      <c r="I666" s="2" t="s">
        <v>1376</v>
      </c>
      <c r="K666" s="2" t="s">
        <v>44</v>
      </c>
      <c r="L666" s="2" t="s">
        <v>1376</v>
      </c>
      <c r="O666" s="2">
        <v>105.0</v>
      </c>
      <c r="P666" s="2" t="s">
        <v>1350</v>
      </c>
      <c r="Q666" s="2" t="s">
        <v>1377</v>
      </c>
      <c r="AI666" s="2" t="str">
        <f t="shared" si="17"/>
        <v/>
      </c>
      <c r="AJ666" s="2" t="s">
        <v>49</v>
      </c>
      <c r="AK666" s="2" t="s">
        <v>50</v>
      </c>
    </row>
    <row r="667" ht="15.75" customHeight="1">
      <c r="A667" s="2" t="s">
        <v>39</v>
      </c>
      <c r="B667" s="3" t="str">
        <f>HYPERLINK("https://www.senado.gob.ar/parlamentario/comisiones/verExp/181.25/S/PL","181")</f>
        <v>181</v>
      </c>
      <c r="C667" s="3" t="str">
        <f>HYPERLINK("https://www.senado.gob.ar/parlamentario/comisiones/verExp/181.25/S/PL","2025")</f>
        <v>2025</v>
      </c>
      <c r="D667" s="2" t="s">
        <v>56</v>
      </c>
      <c r="E667" s="2" t="s">
        <v>1378</v>
      </c>
      <c r="F667" s="2" t="s">
        <v>1343</v>
      </c>
      <c r="I667" s="2" t="s">
        <v>1344</v>
      </c>
      <c r="K667" s="2" t="s">
        <v>44</v>
      </c>
      <c r="L667" s="2" t="s">
        <v>1227</v>
      </c>
      <c r="N667" s="2" t="s">
        <v>380</v>
      </c>
      <c r="O667" s="2">
        <v>61.0</v>
      </c>
      <c r="P667" s="2" t="s">
        <v>104</v>
      </c>
      <c r="Q667" s="2" t="s">
        <v>1255</v>
      </c>
      <c r="AI667" s="2" t="str">
        <f t="shared" si="17"/>
        <v/>
      </c>
      <c r="AJ667" s="2" t="s">
        <v>49</v>
      </c>
      <c r="AK667" s="2" t="s">
        <v>50</v>
      </c>
    </row>
    <row r="668" ht="15.75" customHeight="1">
      <c r="A668" s="2" t="s">
        <v>1347</v>
      </c>
      <c r="B668" s="3" t="str">
        <f>HYPERLINK("https://www.senado.gob.ar/parlamentario/comisiones/verExp/180.25/PE/DC","180")</f>
        <v>180</v>
      </c>
      <c r="C668" s="3" t="str">
        <f>HYPERLINK("https://www.senado.gob.ar/parlamentario/comisiones/verExp/180.25/PE/DC","2025")</f>
        <v>2025</v>
      </c>
      <c r="D668" s="2" t="s">
        <v>1348</v>
      </c>
      <c r="E668" s="2" t="s">
        <v>1379</v>
      </c>
      <c r="F668" s="2" t="s">
        <v>101</v>
      </c>
      <c r="I668" s="2" t="s">
        <v>1376</v>
      </c>
      <c r="K668" s="2" t="s">
        <v>44</v>
      </c>
      <c r="L668" s="2" t="s">
        <v>1376</v>
      </c>
      <c r="O668" s="2">
        <v>105.0</v>
      </c>
      <c r="P668" s="2" t="s">
        <v>1350</v>
      </c>
      <c r="Q668" s="2" t="s">
        <v>1377</v>
      </c>
      <c r="AI668" s="2" t="str">
        <f t="shared" si="17"/>
        <v/>
      </c>
      <c r="AJ668" s="2" t="s">
        <v>49</v>
      </c>
      <c r="AK668" s="2" t="s">
        <v>50</v>
      </c>
    </row>
    <row r="669" ht="15.75" customHeight="1">
      <c r="A669" s="2" t="s">
        <v>39</v>
      </c>
      <c r="B669" s="3" t="str">
        <f>HYPERLINK("https://www.senado.gob.ar/parlamentario/comisiones/verExp/180.25/S/PL","180")</f>
        <v>180</v>
      </c>
      <c r="C669" s="3" t="str">
        <f>HYPERLINK("https://www.senado.gob.ar/parlamentario/comisiones/verExp/180.25/S/PL","2025")</f>
        <v>2025</v>
      </c>
      <c r="D669" s="2" t="s">
        <v>56</v>
      </c>
      <c r="E669" s="2" t="s">
        <v>1380</v>
      </c>
      <c r="F669" s="2" t="s">
        <v>1343</v>
      </c>
      <c r="I669" s="2" t="s">
        <v>1344</v>
      </c>
      <c r="K669" s="2" t="s">
        <v>44</v>
      </c>
      <c r="L669" s="2" t="s">
        <v>1227</v>
      </c>
      <c r="N669" s="2" t="s">
        <v>380</v>
      </c>
      <c r="O669" s="2">
        <v>61.0</v>
      </c>
      <c r="P669" s="2" t="s">
        <v>104</v>
      </c>
      <c r="Q669" s="2" t="s">
        <v>1255</v>
      </c>
      <c r="S669" s="2">
        <v>78.0</v>
      </c>
      <c r="T669" s="2" t="s">
        <v>73</v>
      </c>
      <c r="U669" s="2" t="s">
        <v>1255</v>
      </c>
      <c r="W669" s="2">
        <v>54.0</v>
      </c>
      <c r="X669" s="2" t="s">
        <v>65</v>
      </c>
      <c r="Y669" s="2" t="s">
        <v>1255</v>
      </c>
      <c r="AI669" s="2" t="str">
        <f t="shared" si="17"/>
        <v/>
      </c>
      <c r="AJ669" s="2" t="s">
        <v>49</v>
      </c>
      <c r="AK669" s="2" t="s">
        <v>50</v>
      </c>
    </row>
    <row r="670" ht="15.75" customHeight="1">
      <c r="A670" s="2" t="s">
        <v>39</v>
      </c>
      <c r="B670" s="3" t="str">
        <f>HYPERLINK("https://www.senado.gob.ar/parlamentario/comisiones/verExp/179.25/S/PL","179")</f>
        <v>179</v>
      </c>
      <c r="C670" s="3" t="str">
        <f>HYPERLINK("https://www.senado.gob.ar/parlamentario/comisiones/verExp/179.25/S/PL","2025")</f>
        <v>2025</v>
      </c>
      <c r="D670" s="2" t="s">
        <v>56</v>
      </c>
      <c r="E670" s="2" t="s">
        <v>1381</v>
      </c>
      <c r="F670" s="2" t="s">
        <v>1343</v>
      </c>
      <c r="I670" s="2" t="s">
        <v>1344</v>
      </c>
      <c r="K670" s="2" t="s">
        <v>44</v>
      </c>
      <c r="L670" s="2" t="s">
        <v>1227</v>
      </c>
      <c r="N670" s="2" t="s">
        <v>380</v>
      </c>
      <c r="O670" s="2">
        <v>78.0</v>
      </c>
      <c r="P670" s="2" t="s">
        <v>73</v>
      </c>
      <c r="Q670" s="2" t="s">
        <v>1255</v>
      </c>
      <c r="S670" s="2">
        <v>61.0</v>
      </c>
      <c r="T670" s="2" t="s">
        <v>104</v>
      </c>
      <c r="U670" s="2" t="s">
        <v>1255</v>
      </c>
      <c r="W670" s="2">
        <v>54.0</v>
      </c>
      <c r="X670" s="2" t="s">
        <v>65</v>
      </c>
      <c r="Y670" s="2" t="s">
        <v>1255</v>
      </c>
      <c r="AI670" s="2" t="str">
        <f t="shared" si="17"/>
        <v/>
      </c>
      <c r="AJ670" s="2" t="s">
        <v>49</v>
      </c>
      <c r="AK670" s="2" t="s">
        <v>50</v>
      </c>
    </row>
    <row r="671" ht="15.75" customHeight="1">
      <c r="A671" s="2" t="s">
        <v>1347</v>
      </c>
      <c r="B671" s="3" t="str">
        <f>HYPERLINK("https://www.senado.gob.ar/parlamentario/comisiones/verExp/178.25/PE/DC","178")</f>
        <v>178</v>
      </c>
      <c r="C671" s="3" t="str">
        <f>HYPERLINK("https://www.senado.gob.ar/parlamentario/comisiones/verExp/178.25/PE/DC","2025")</f>
        <v>2025</v>
      </c>
      <c r="D671" s="2" t="s">
        <v>1348</v>
      </c>
      <c r="E671" s="2" t="s">
        <v>1382</v>
      </c>
      <c r="F671" s="2" t="s">
        <v>101</v>
      </c>
      <c r="I671" s="2" t="s">
        <v>1376</v>
      </c>
      <c r="K671" s="2" t="s">
        <v>44</v>
      </c>
      <c r="L671" s="2" t="s">
        <v>1376</v>
      </c>
      <c r="O671" s="2">
        <v>105.0</v>
      </c>
      <c r="P671" s="2" t="s">
        <v>1350</v>
      </c>
      <c r="Q671" s="2" t="s">
        <v>1377</v>
      </c>
      <c r="AI671" s="2" t="str">
        <f t="shared" si="17"/>
        <v/>
      </c>
      <c r="AJ671" s="2" t="s">
        <v>49</v>
      </c>
      <c r="AK671" s="2" t="s">
        <v>50</v>
      </c>
    </row>
    <row r="672" ht="15.75" customHeight="1">
      <c r="A672" s="2" t="s">
        <v>1347</v>
      </c>
      <c r="B672" s="3" t="str">
        <f>HYPERLINK("https://www.senado.gob.ar/parlamentario/comisiones/verExp/177.25/PE/DC","177")</f>
        <v>177</v>
      </c>
      <c r="C672" s="3" t="str">
        <f>HYPERLINK("https://www.senado.gob.ar/parlamentario/comisiones/verExp/177.25/PE/DC","2025")</f>
        <v>2025</v>
      </c>
      <c r="D672" s="2" t="s">
        <v>1348</v>
      </c>
      <c r="E672" s="2" t="s">
        <v>1383</v>
      </c>
      <c r="F672" s="2" t="s">
        <v>101</v>
      </c>
      <c r="I672" s="2" t="s">
        <v>1376</v>
      </c>
      <c r="K672" s="2" t="s">
        <v>44</v>
      </c>
      <c r="L672" s="2" t="s">
        <v>1376</v>
      </c>
      <c r="O672" s="2">
        <v>105.0</v>
      </c>
      <c r="P672" s="2" t="s">
        <v>1350</v>
      </c>
      <c r="Q672" s="2" t="s">
        <v>1377</v>
      </c>
      <c r="AI672" s="2" t="str">
        <f t="shared" si="17"/>
        <v/>
      </c>
      <c r="AJ672" s="2" t="s">
        <v>49</v>
      </c>
      <c r="AK672" s="2" t="s">
        <v>50</v>
      </c>
    </row>
    <row r="673" ht="15.75" customHeight="1">
      <c r="A673" s="2" t="s">
        <v>1347</v>
      </c>
      <c r="B673" s="3" t="str">
        <f>HYPERLINK("https://www.senado.gob.ar/parlamentario/comisiones/verExp/176.25/PE/AC","176")</f>
        <v>176</v>
      </c>
      <c r="C673" s="3" t="str">
        <f>HYPERLINK("https://www.senado.gob.ar/parlamentario/comisiones/verExp/176.25/PE/AC","2025")</f>
        <v>2025</v>
      </c>
      <c r="D673" s="2" t="s">
        <v>1384</v>
      </c>
      <c r="E673" s="2" t="s">
        <v>1385</v>
      </c>
      <c r="F673" s="2" t="s">
        <v>1386</v>
      </c>
      <c r="I673" s="2" t="s">
        <v>1223</v>
      </c>
      <c r="K673" s="2" t="s">
        <v>44</v>
      </c>
      <c r="L673" s="2" t="s">
        <v>1223</v>
      </c>
      <c r="O673" s="2">
        <v>71.0</v>
      </c>
      <c r="P673" s="2" t="s">
        <v>1387</v>
      </c>
      <c r="Q673" s="2" t="s">
        <v>1388</v>
      </c>
      <c r="AI673" s="2" t="str">
        <f t="shared" si="17"/>
        <v/>
      </c>
      <c r="AJ673" s="2" t="s">
        <v>49</v>
      </c>
      <c r="AK673" s="2" t="s">
        <v>50</v>
      </c>
    </row>
    <row r="674" ht="15.75" customHeight="1">
      <c r="A674" s="2" t="s">
        <v>1347</v>
      </c>
      <c r="B674" s="3" t="str">
        <f>HYPERLINK("https://www.senado.gob.ar/parlamentario/comisiones/verExp/174.25/PE/DC","174")</f>
        <v>174</v>
      </c>
      <c r="C674" s="3" t="str">
        <f>HYPERLINK("https://www.senado.gob.ar/parlamentario/comisiones/verExp/174.25/PE/DC","2025")</f>
        <v>2025</v>
      </c>
      <c r="D674" s="2" t="s">
        <v>1348</v>
      </c>
      <c r="E674" s="2" t="s">
        <v>1389</v>
      </c>
      <c r="F674" s="2" t="s">
        <v>112</v>
      </c>
      <c r="I674" s="2" t="s">
        <v>106</v>
      </c>
      <c r="K674" s="2" t="s">
        <v>44</v>
      </c>
      <c r="L674" s="2" t="s">
        <v>106</v>
      </c>
      <c r="O674" s="2">
        <v>105.0</v>
      </c>
      <c r="P674" s="2" t="s">
        <v>1350</v>
      </c>
      <c r="Q674" s="2" t="s">
        <v>1390</v>
      </c>
      <c r="AI674" s="2" t="str">
        <f t="shared" si="17"/>
        <v/>
      </c>
      <c r="AJ674" s="2" t="s">
        <v>49</v>
      </c>
      <c r="AK674" s="2" t="s">
        <v>50</v>
      </c>
    </row>
    <row r="675" ht="15.75" customHeight="1">
      <c r="A675" s="2" t="s">
        <v>1347</v>
      </c>
      <c r="B675" s="3" t="str">
        <f>HYPERLINK("https://www.senado.gob.ar/parlamentario/comisiones/verExp/171.25/PE/DC","171")</f>
        <v>171</v>
      </c>
      <c r="C675" s="3" t="str">
        <f>HYPERLINK("https://www.senado.gob.ar/parlamentario/comisiones/verExp/171.25/PE/DC","2025")</f>
        <v>2025</v>
      </c>
      <c r="D675" s="2" t="s">
        <v>1348</v>
      </c>
      <c r="E675" s="2" t="s">
        <v>1391</v>
      </c>
      <c r="F675" s="2" t="s">
        <v>112</v>
      </c>
      <c r="I675" s="2" t="s">
        <v>1392</v>
      </c>
      <c r="K675" s="2" t="s">
        <v>44</v>
      </c>
      <c r="L675" s="2" t="s">
        <v>1393</v>
      </c>
      <c r="O675" s="2">
        <v>105.0</v>
      </c>
      <c r="P675" s="2" t="s">
        <v>1350</v>
      </c>
      <c r="Q675" s="2" t="s">
        <v>1394</v>
      </c>
      <c r="AI675" s="2" t="str">
        <f t="shared" si="17"/>
        <v/>
      </c>
      <c r="AJ675" s="2" t="s">
        <v>49</v>
      </c>
      <c r="AK675" s="2" t="s">
        <v>50</v>
      </c>
    </row>
    <row r="676" ht="15.75" customHeight="1">
      <c r="A676" s="2" t="s">
        <v>1347</v>
      </c>
      <c r="B676" s="3" t="str">
        <f>HYPERLINK("https://www.senado.gob.ar/parlamentario/comisiones/verExp/170.25/PE/DC","170")</f>
        <v>170</v>
      </c>
      <c r="C676" s="3" t="str">
        <f>HYPERLINK("https://www.senado.gob.ar/parlamentario/comisiones/verExp/170.25/PE/DC","2025")</f>
        <v>2025</v>
      </c>
      <c r="D676" s="2" t="s">
        <v>1348</v>
      </c>
      <c r="E676" s="2" t="s">
        <v>1395</v>
      </c>
      <c r="F676" s="2" t="s">
        <v>112</v>
      </c>
      <c r="I676" s="2" t="s">
        <v>1392</v>
      </c>
      <c r="K676" s="2" t="s">
        <v>44</v>
      </c>
      <c r="L676" s="2" t="s">
        <v>1393</v>
      </c>
      <c r="O676" s="2">
        <v>105.0</v>
      </c>
      <c r="P676" s="2" t="s">
        <v>1350</v>
      </c>
      <c r="Q676" s="2" t="s">
        <v>1394</v>
      </c>
      <c r="AI676" s="2" t="str">
        <f t="shared" si="17"/>
        <v/>
      </c>
      <c r="AJ676" s="2" t="s">
        <v>49</v>
      </c>
      <c r="AK676" s="2" t="s">
        <v>50</v>
      </c>
    </row>
    <row r="677" ht="15.75" customHeight="1">
      <c r="A677" s="2" t="s">
        <v>1347</v>
      </c>
      <c r="B677" s="3" t="str">
        <f>HYPERLINK("https://www.senado.gob.ar/parlamentario/comisiones/verExp/169.25/PE/DC","169")</f>
        <v>169</v>
      </c>
      <c r="C677" s="3" t="str">
        <f>HYPERLINK("https://www.senado.gob.ar/parlamentario/comisiones/verExp/169.25/PE/DC","2025")</f>
        <v>2025</v>
      </c>
      <c r="D677" s="2" t="s">
        <v>1348</v>
      </c>
      <c r="E677" s="2" t="s">
        <v>1396</v>
      </c>
      <c r="F677" s="2" t="s">
        <v>112</v>
      </c>
      <c r="I677" s="2" t="s">
        <v>1392</v>
      </c>
      <c r="K677" s="2" t="s">
        <v>44</v>
      </c>
      <c r="L677" s="2" t="s">
        <v>1393</v>
      </c>
      <c r="O677" s="2">
        <v>105.0</v>
      </c>
      <c r="P677" s="2" t="s">
        <v>1350</v>
      </c>
      <c r="Q677" s="2" t="s">
        <v>1394</v>
      </c>
      <c r="AI677" s="2" t="str">
        <f t="shared" si="17"/>
        <v/>
      </c>
      <c r="AJ677" s="2" t="s">
        <v>49</v>
      </c>
      <c r="AK677" s="2" t="s">
        <v>50</v>
      </c>
    </row>
    <row r="678" ht="15.75" customHeight="1">
      <c r="A678" s="2" t="s">
        <v>1347</v>
      </c>
      <c r="B678" s="3" t="str">
        <f>HYPERLINK("https://www.senado.gob.ar/parlamentario/comisiones/verExp/168.25/PE/CE","168")</f>
        <v>168</v>
      </c>
      <c r="C678" s="3" t="str">
        <f>HYPERLINK("https://www.senado.gob.ar/parlamentario/comisiones/verExp/168.25/PE/CE","2025")</f>
        <v>2025</v>
      </c>
      <c r="D678" s="2" t="s">
        <v>1353</v>
      </c>
      <c r="E678" s="2" t="s">
        <v>1397</v>
      </c>
      <c r="F678" s="2" t="s">
        <v>340</v>
      </c>
      <c r="I678" s="2" t="s">
        <v>1392</v>
      </c>
      <c r="K678" s="2" t="s">
        <v>44</v>
      </c>
      <c r="L678" s="2" t="s">
        <v>1392</v>
      </c>
      <c r="O678" s="2">
        <v>54.0</v>
      </c>
      <c r="P678" s="2" t="s">
        <v>65</v>
      </c>
      <c r="Q678" s="2" t="s">
        <v>1398</v>
      </c>
      <c r="S678" s="2">
        <v>474.0</v>
      </c>
      <c r="T678" s="2" t="s">
        <v>1370</v>
      </c>
      <c r="U678" s="2" t="s">
        <v>1398</v>
      </c>
      <c r="AI678" s="2" t="str">
        <f t="shared" si="17"/>
        <v/>
      </c>
      <c r="AJ678" s="2" t="s">
        <v>49</v>
      </c>
      <c r="AK678" s="2" t="s">
        <v>50</v>
      </c>
    </row>
    <row r="679" ht="15.75" customHeight="1">
      <c r="A679" s="2" t="s">
        <v>1347</v>
      </c>
      <c r="B679" s="3" t="str">
        <f>HYPERLINK("https://www.senado.gob.ar/parlamentario/comisiones/verExp/167.25/PE/DC","167")</f>
        <v>167</v>
      </c>
      <c r="C679" s="3" t="str">
        <f>HYPERLINK("https://www.senado.gob.ar/parlamentario/comisiones/verExp/167.25/PE/DC","2025")</f>
        <v>2025</v>
      </c>
      <c r="D679" s="2" t="s">
        <v>1348</v>
      </c>
      <c r="E679" s="2" t="s">
        <v>1399</v>
      </c>
      <c r="F679" s="2" t="s">
        <v>112</v>
      </c>
      <c r="I679" s="2" t="s">
        <v>1392</v>
      </c>
      <c r="K679" s="2" t="s">
        <v>44</v>
      </c>
      <c r="L679" s="2" t="s">
        <v>1392</v>
      </c>
      <c r="O679" s="2">
        <v>105.0</v>
      </c>
      <c r="P679" s="2" t="s">
        <v>1350</v>
      </c>
      <c r="Q679" s="2" t="s">
        <v>1398</v>
      </c>
      <c r="AI679" s="2" t="str">
        <f t="shared" si="17"/>
        <v/>
      </c>
      <c r="AJ679" s="2" t="s">
        <v>49</v>
      </c>
      <c r="AK679" s="2" t="s">
        <v>50</v>
      </c>
    </row>
    <row r="680" ht="15.75" customHeight="1">
      <c r="A680" s="2" t="s">
        <v>39</v>
      </c>
      <c r="B680" s="3" t="str">
        <f>HYPERLINK("https://www.senado.gob.ar/parlamentario/comisiones/verExp/167.25/S/PL","167")</f>
        <v>167</v>
      </c>
      <c r="C680" s="3" t="str">
        <f>HYPERLINK("https://www.senado.gob.ar/parlamentario/comisiones/verExp/167.25/S/PL","2025")</f>
        <v>2025</v>
      </c>
      <c r="D680" s="2" t="s">
        <v>56</v>
      </c>
      <c r="E680" s="2" t="s">
        <v>1400</v>
      </c>
      <c r="F680" s="2" t="s">
        <v>1401</v>
      </c>
      <c r="I680" s="2" t="s">
        <v>1402</v>
      </c>
      <c r="K680" s="2" t="s">
        <v>44</v>
      </c>
      <c r="L680" s="2" t="s">
        <v>1227</v>
      </c>
      <c r="N680" s="2" t="s">
        <v>261</v>
      </c>
      <c r="O680" s="2">
        <v>54.0</v>
      </c>
      <c r="P680" s="2" t="s">
        <v>65</v>
      </c>
      <c r="Q680" s="2" t="s">
        <v>1255</v>
      </c>
      <c r="AI680" s="2" t="str">
        <f t="shared" si="17"/>
        <v/>
      </c>
      <c r="AJ680" s="2" t="s">
        <v>49</v>
      </c>
      <c r="AK680" s="2" t="s">
        <v>50</v>
      </c>
    </row>
    <row r="681" ht="15.75" customHeight="1">
      <c r="A681" s="2" t="s">
        <v>1347</v>
      </c>
      <c r="B681" s="3" t="str">
        <f>HYPERLINK("https://www.senado.gob.ar/parlamentario/comisiones/verExp/166.25/PE/DC","166")</f>
        <v>166</v>
      </c>
      <c r="C681" s="3" t="str">
        <f>HYPERLINK("https://www.senado.gob.ar/parlamentario/comisiones/verExp/166.25/PE/DC","2025")</f>
        <v>2025</v>
      </c>
      <c r="D681" s="2" t="s">
        <v>1348</v>
      </c>
      <c r="E681" s="2" t="s">
        <v>1403</v>
      </c>
      <c r="F681" s="2" t="s">
        <v>121</v>
      </c>
      <c r="I681" s="2" t="s">
        <v>1392</v>
      </c>
      <c r="K681" s="2" t="s">
        <v>44</v>
      </c>
      <c r="L681" s="2" t="s">
        <v>1392</v>
      </c>
      <c r="O681" s="2">
        <v>105.0</v>
      </c>
      <c r="P681" s="2" t="s">
        <v>1350</v>
      </c>
      <c r="Q681" s="2" t="s">
        <v>1398</v>
      </c>
      <c r="AI681" s="2" t="str">
        <f t="shared" si="17"/>
        <v/>
      </c>
      <c r="AJ681" s="2" t="s">
        <v>49</v>
      </c>
      <c r="AK681" s="2" t="s">
        <v>50</v>
      </c>
    </row>
    <row r="682" ht="15.75" customHeight="1">
      <c r="A682" s="2" t="s">
        <v>1347</v>
      </c>
      <c r="B682" s="3" t="str">
        <f>HYPERLINK("https://www.senado.gob.ar/parlamentario/comisiones/verExp/165.25/PE/CE","165")</f>
        <v>165</v>
      </c>
      <c r="C682" s="3" t="str">
        <f>HYPERLINK("https://www.senado.gob.ar/parlamentario/comisiones/verExp/165.25/PE/CE","2025")</f>
        <v>2025</v>
      </c>
      <c r="D682" s="2" t="s">
        <v>1353</v>
      </c>
      <c r="E682" s="2" t="s">
        <v>1404</v>
      </c>
      <c r="F682" s="2" t="s">
        <v>340</v>
      </c>
      <c r="I682" s="2" t="s">
        <v>1405</v>
      </c>
      <c r="K682" s="2" t="s">
        <v>44</v>
      </c>
      <c r="L682" s="2" t="s">
        <v>1406</v>
      </c>
      <c r="O682" s="2">
        <v>54.0</v>
      </c>
      <c r="P682" s="2" t="s">
        <v>65</v>
      </c>
      <c r="Q682" s="2" t="s">
        <v>1407</v>
      </c>
      <c r="S682" s="2">
        <v>474.0</v>
      </c>
      <c r="T682" s="2" t="s">
        <v>1370</v>
      </c>
      <c r="U682" s="2" t="s">
        <v>1407</v>
      </c>
      <c r="AI682" s="2" t="str">
        <f t="shared" si="17"/>
        <v/>
      </c>
      <c r="AJ682" s="2" t="s">
        <v>49</v>
      </c>
      <c r="AK682" s="2" t="s">
        <v>50</v>
      </c>
    </row>
    <row r="683" ht="15.75" customHeight="1">
      <c r="A683" s="2" t="s">
        <v>1347</v>
      </c>
      <c r="B683" s="3" t="str">
        <f>HYPERLINK("https://www.senado.gob.ar/parlamentario/comisiones/verExp/164.25/PE/CE","164")</f>
        <v>164</v>
      </c>
      <c r="C683" s="3" t="str">
        <f>HYPERLINK("https://www.senado.gob.ar/parlamentario/comisiones/verExp/164.25/PE/CE","2025")</f>
        <v>2025</v>
      </c>
      <c r="D683" s="2" t="s">
        <v>1353</v>
      </c>
      <c r="E683" s="2" t="s">
        <v>1408</v>
      </c>
      <c r="F683" s="2" t="s">
        <v>340</v>
      </c>
      <c r="I683" s="2" t="s">
        <v>130</v>
      </c>
      <c r="K683" s="2" t="s">
        <v>44</v>
      </c>
      <c r="L683" s="2" t="s">
        <v>1409</v>
      </c>
      <c r="O683" s="2">
        <v>69.0</v>
      </c>
      <c r="P683" s="2" t="s">
        <v>135</v>
      </c>
      <c r="Q683" s="2" t="s">
        <v>1410</v>
      </c>
      <c r="AI683" s="2" t="str">
        <f t="shared" si="17"/>
        <v/>
      </c>
      <c r="AJ683" s="2" t="s">
        <v>49</v>
      </c>
      <c r="AK683" s="2" t="s">
        <v>50</v>
      </c>
    </row>
    <row r="684" ht="15.75" customHeight="1">
      <c r="A684" s="2" t="s">
        <v>1347</v>
      </c>
      <c r="B684" s="3" t="str">
        <f>HYPERLINK("https://www.senado.gob.ar/parlamentario/comisiones/verExp/163.25/PE/CE","163")</f>
        <v>163</v>
      </c>
      <c r="C684" s="3" t="str">
        <f>HYPERLINK("https://www.senado.gob.ar/parlamentario/comisiones/verExp/163.25/PE/CE","2025")</f>
        <v>2025</v>
      </c>
      <c r="D684" s="2" t="s">
        <v>1353</v>
      </c>
      <c r="E684" s="2" t="s">
        <v>1411</v>
      </c>
      <c r="F684" s="2" t="s">
        <v>340</v>
      </c>
      <c r="I684" s="2" t="s">
        <v>130</v>
      </c>
      <c r="K684" s="2" t="s">
        <v>44</v>
      </c>
      <c r="L684" s="2" t="s">
        <v>1409</v>
      </c>
      <c r="O684" s="2">
        <v>54.0</v>
      </c>
      <c r="P684" s="2" t="s">
        <v>65</v>
      </c>
      <c r="Q684" s="2" t="s">
        <v>1412</v>
      </c>
      <c r="S684" s="2">
        <v>474.0</v>
      </c>
      <c r="T684" s="2" t="s">
        <v>1370</v>
      </c>
      <c r="U684" s="2" t="s">
        <v>1413</v>
      </c>
      <c r="AI684" s="2" t="str">
        <f t="shared" si="17"/>
        <v/>
      </c>
      <c r="AJ684" s="2" t="s">
        <v>49</v>
      </c>
      <c r="AK684" s="2" t="s">
        <v>50</v>
      </c>
    </row>
    <row r="685" ht="15.75" customHeight="1">
      <c r="A685" s="2" t="s">
        <v>1347</v>
      </c>
      <c r="B685" s="3" t="str">
        <f>HYPERLINK("https://www.senado.gob.ar/parlamentario/comisiones/verExp/162.25/PE/DC","162")</f>
        <v>162</v>
      </c>
      <c r="C685" s="3" t="str">
        <f>HYPERLINK("https://www.senado.gob.ar/parlamentario/comisiones/verExp/162.25/PE/DC","2025")</f>
        <v>2025</v>
      </c>
      <c r="D685" s="2" t="s">
        <v>1348</v>
      </c>
      <c r="E685" s="2" t="s">
        <v>1414</v>
      </c>
      <c r="F685" s="2" t="s">
        <v>121</v>
      </c>
      <c r="I685" s="2" t="s">
        <v>129</v>
      </c>
      <c r="K685" s="2" t="s">
        <v>44</v>
      </c>
      <c r="L685" s="2" t="s">
        <v>129</v>
      </c>
      <c r="O685" s="2">
        <v>105.0</v>
      </c>
      <c r="P685" s="2" t="s">
        <v>1350</v>
      </c>
      <c r="Q685" s="2" t="s">
        <v>138</v>
      </c>
      <c r="AI685" s="2" t="str">
        <f t="shared" si="17"/>
        <v/>
      </c>
      <c r="AJ685" s="2" t="s">
        <v>49</v>
      </c>
      <c r="AK685" s="2" t="s">
        <v>50</v>
      </c>
    </row>
    <row r="686" ht="15.75" customHeight="1">
      <c r="A686" s="2" t="s">
        <v>1347</v>
      </c>
      <c r="B686" s="3" t="str">
        <f>HYPERLINK("https://www.senado.gob.ar/parlamentario/comisiones/verExp/160.25/PE/DC","160")</f>
        <v>160</v>
      </c>
      <c r="C686" s="3" t="str">
        <f>HYPERLINK("https://www.senado.gob.ar/parlamentario/comisiones/verExp/160.25/PE/DC","2025")</f>
        <v>2025</v>
      </c>
      <c r="D686" s="2" t="s">
        <v>1348</v>
      </c>
      <c r="E686" s="2" t="s">
        <v>1415</v>
      </c>
      <c r="F686" s="2" t="s">
        <v>150</v>
      </c>
      <c r="I686" s="2" t="s">
        <v>1416</v>
      </c>
      <c r="K686" s="2" t="s">
        <v>44</v>
      </c>
      <c r="L686" s="2" t="s">
        <v>1416</v>
      </c>
      <c r="O686" s="2">
        <v>105.0</v>
      </c>
      <c r="P686" s="2" t="s">
        <v>1350</v>
      </c>
      <c r="Q686" s="2" t="s">
        <v>1417</v>
      </c>
      <c r="AI686" s="2" t="str">
        <f t="shared" si="17"/>
        <v/>
      </c>
      <c r="AJ686" s="2" t="s">
        <v>49</v>
      </c>
      <c r="AK686" s="2" t="s">
        <v>50</v>
      </c>
    </row>
    <row r="687" ht="15.75" customHeight="1">
      <c r="A687" s="2" t="s">
        <v>1347</v>
      </c>
      <c r="B687" s="3" t="str">
        <f>HYPERLINK("https://www.senado.gob.ar/parlamentario/comisiones/verExp/157.25/PE/DC","157")</f>
        <v>157</v>
      </c>
      <c r="C687" s="3" t="str">
        <f>HYPERLINK("https://www.senado.gob.ar/parlamentario/comisiones/verExp/157.25/PE/DC","2025")</f>
        <v>2025</v>
      </c>
      <c r="D687" s="2" t="s">
        <v>1348</v>
      </c>
      <c r="E687" s="2" t="s">
        <v>1418</v>
      </c>
      <c r="F687" s="2" t="s">
        <v>158</v>
      </c>
      <c r="I687" s="2" t="s">
        <v>162</v>
      </c>
      <c r="K687" s="2" t="s">
        <v>44</v>
      </c>
      <c r="L687" s="2" t="s">
        <v>162</v>
      </c>
      <c r="O687" s="2">
        <v>105.0</v>
      </c>
      <c r="P687" s="2" t="s">
        <v>1350</v>
      </c>
      <c r="Q687" s="2" t="s">
        <v>172</v>
      </c>
      <c r="AI687" s="2" t="str">
        <f t="shared" si="17"/>
        <v/>
      </c>
      <c r="AJ687" s="2" t="s">
        <v>49</v>
      </c>
      <c r="AK687" s="2" t="s">
        <v>50</v>
      </c>
    </row>
    <row r="688" ht="15.75" customHeight="1">
      <c r="A688" s="2" t="s">
        <v>1347</v>
      </c>
      <c r="B688" s="3" t="str">
        <f>HYPERLINK("https://www.senado.gob.ar/parlamentario/comisiones/verExp/156.25/PE/RP","156")</f>
        <v>156</v>
      </c>
      <c r="C688" s="3" t="str">
        <f>HYPERLINK("https://www.senado.gob.ar/parlamentario/comisiones/verExp/156.25/PE/RP","2025")</f>
        <v>2025</v>
      </c>
      <c r="D688" s="2" t="s">
        <v>1419</v>
      </c>
      <c r="E688" s="2" t="s">
        <v>1420</v>
      </c>
      <c r="F688" s="2" t="s">
        <v>340</v>
      </c>
      <c r="I688" s="2" t="s">
        <v>170</v>
      </c>
      <c r="K688" s="2" t="s">
        <v>44</v>
      </c>
      <c r="L688" s="2" t="s">
        <v>1421</v>
      </c>
      <c r="O688" s="2">
        <v>59.0</v>
      </c>
      <c r="P688" s="2" t="s">
        <v>220</v>
      </c>
      <c r="Q688" s="2" t="s">
        <v>1422</v>
      </c>
      <c r="AI688" s="2" t="str">
        <f t="shared" si="17"/>
        <v/>
      </c>
      <c r="AJ688" s="2" t="s">
        <v>49</v>
      </c>
      <c r="AK688" s="2" t="s">
        <v>50</v>
      </c>
    </row>
    <row r="689" ht="15.75" customHeight="1">
      <c r="A689" s="2" t="s">
        <v>1347</v>
      </c>
      <c r="B689" s="3" t="str">
        <f>HYPERLINK("https://www.senado.gob.ar/parlamentario/comisiones/verExp/155.25/PE/DC","155")</f>
        <v>155</v>
      </c>
      <c r="C689" s="3" t="str">
        <f>HYPERLINK("https://www.senado.gob.ar/parlamentario/comisiones/verExp/155.25/PE/DC","2025")</f>
        <v>2025</v>
      </c>
      <c r="D689" s="2" t="s">
        <v>1348</v>
      </c>
      <c r="E689" s="2" t="s">
        <v>1423</v>
      </c>
      <c r="F689" s="2" t="s">
        <v>176</v>
      </c>
      <c r="I689" s="2" t="s">
        <v>177</v>
      </c>
      <c r="K689" s="2" t="s">
        <v>44</v>
      </c>
      <c r="L689" s="2" t="s">
        <v>177</v>
      </c>
      <c r="O689" s="2">
        <v>105.0</v>
      </c>
      <c r="P689" s="2" t="s">
        <v>1350</v>
      </c>
      <c r="Q689" s="2" t="s">
        <v>1424</v>
      </c>
      <c r="AI689" s="2" t="str">
        <f t="shared" si="17"/>
        <v/>
      </c>
      <c r="AJ689" s="2" t="s">
        <v>49</v>
      </c>
      <c r="AK689" s="2" t="s">
        <v>50</v>
      </c>
    </row>
    <row r="690" ht="15.75" customHeight="1">
      <c r="A690" s="2" t="s">
        <v>1347</v>
      </c>
      <c r="B690" s="3" t="str">
        <f>HYPERLINK("https://www.senado.gob.ar/parlamentario/comisiones/verExp/154.25/PE/DC","154")</f>
        <v>154</v>
      </c>
      <c r="C690" s="3" t="str">
        <f>HYPERLINK("https://www.senado.gob.ar/parlamentario/comisiones/verExp/154.25/PE/DC","2025")</f>
        <v>2025</v>
      </c>
      <c r="D690" s="2" t="s">
        <v>1348</v>
      </c>
      <c r="E690" s="2" t="s">
        <v>1425</v>
      </c>
      <c r="F690" s="2" t="s">
        <v>198</v>
      </c>
      <c r="I690" s="2" t="s">
        <v>182</v>
      </c>
      <c r="K690" s="2" t="s">
        <v>44</v>
      </c>
      <c r="L690" s="2" t="s">
        <v>182</v>
      </c>
      <c r="O690" s="2">
        <v>105.0</v>
      </c>
      <c r="P690" s="2" t="s">
        <v>1350</v>
      </c>
      <c r="Q690" s="2" t="s">
        <v>1426</v>
      </c>
      <c r="AI690" s="2" t="str">
        <f t="shared" si="17"/>
        <v/>
      </c>
      <c r="AJ690" s="2" t="s">
        <v>49</v>
      </c>
      <c r="AK690" s="2" t="s">
        <v>50</v>
      </c>
    </row>
    <row r="691" ht="15.75" customHeight="1">
      <c r="A691" s="2" t="s">
        <v>1347</v>
      </c>
      <c r="B691" s="3" t="str">
        <f>HYPERLINK("https://www.senado.gob.ar/parlamentario/comisiones/verExp/153.25/PE/DC","153")</f>
        <v>153</v>
      </c>
      <c r="C691" s="3" t="str">
        <f>HYPERLINK("https://www.senado.gob.ar/parlamentario/comisiones/verExp/153.25/PE/DC","2025")</f>
        <v>2025</v>
      </c>
      <c r="D691" s="2" t="s">
        <v>1348</v>
      </c>
      <c r="E691" s="2" t="s">
        <v>1427</v>
      </c>
      <c r="F691" s="2" t="s">
        <v>216</v>
      </c>
      <c r="I691" s="2" t="s">
        <v>211</v>
      </c>
      <c r="K691" s="2" t="s">
        <v>44</v>
      </c>
      <c r="L691" s="2" t="s">
        <v>211</v>
      </c>
      <c r="O691" s="2">
        <v>105.0</v>
      </c>
      <c r="P691" s="2" t="s">
        <v>1350</v>
      </c>
      <c r="Q691" s="2" t="s">
        <v>1428</v>
      </c>
      <c r="AI691" s="2" t="str">
        <f t="shared" si="17"/>
        <v/>
      </c>
      <c r="AJ691" s="2" t="s">
        <v>49</v>
      </c>
      <c r="AK691" s="2" t="s">
        <v>50</v>
      </c>
    </row>
    <row r="692" ht="15.75" customHeight="1">
      <c r="A692" s="2" t="s">
        <v>1347</v>
      </c>
      <c r="B692" s="3" t="str">
        <f>HYPERLINK("https://www.senado.gob.ar/parlamentario/comisiones/verExp/151.25/PE/CE","151")</f>
        <v>151</v>
      </c>
      <c r="C692" s="3" t="str">
        <f>HYPERLINK("https://www.senado.gob.ar/parlamentario/comisiones/verExp/151.25/PE/CE","2025")</f>
        <v>2025</v>
      </c>
      <c r="D692" s="2" t="s">
        <v>1353</v>
      </c>
      <c r="E692" s="2" t="s">
        <v>1429</v>
      </c>
      <c r="F692" s="2" t="s">
        <v>340</v>
      </c>
      <c r="I692" s="2" t="s">
        <v>254</v>
      </c>
      <c r="K692" s="2" t="s">
        <v>44</v>
      </c>
      <c r="L692" s="2" t="s">
        <v>245</v>
      </c>
      <c r="O692" s="2">
        <v>54.0</v>
      </c>
      <c r="P692" s="2" t="s">
        <v>65</v>
      </c>
      <c r="Q692" s="2" t="s">
        <v>1430</v>
      </c>
      <c r="S692" s="2">
        <v>58.0</v>
      </c>
      <c r="T692" s="2" t="s">
        <v>194</v>
      </c>
      <c r="U692" s="2" t="s">
        <v>1430</v>
      </c>
      <c r="W692" s="2">
        <v>111.0</v>
      </c>
      <c r="X692" s="2" t="s">
        <v>1431</v>
      </c>
      <c r="Y692" s="2" t="s">
        <v>1430</v>
      </c>
      <c r="AI692" s="2" t="str">
        <f t="shared" si="17"/>
        <v/>
      </c>
      <c r="AJ692" s="2" t="s">
        <v>49</v>
      </c>
      <c r="AK692" s="2" t="s">
        <v>50</v>
      </c>
    </row>
    <row r="693" ht="15.75" customHeight="1">
      <c r="A693" s="2" t="s">
        <v>1347</v>
      </c>
      <c r="B693" s="3" t="str">
        <f>HYPERLINK("https://www.senado.gob.ar/parlamentario/comisiones/verExp/150.25/PE/DC","150")</f>
        <v>150</v>
      </c>
      <c r="C693" s="3" t="str">
        <f>HYPERLINK("https://www.senado.gob.ar/parlamentario/comisiones/verExp/150.25/PE/DC","2025")</f>
        <v>2025</v>
      </c>
      <c r="D693" s="2" t="s">
        <v>1348</v>
      </c>
      <c r="E693" s="2" t="s">
        <v>1432</v>
      </c>
      <c r="F693" s="2" t="s">
        <v>268</v>
      </c>
      <c r="I693" s="2" t="s">
        <v>258</v>
      </c>
      <c r="K693" s="2" t="s">
        <v>44</v>
      </c>
      <c r="L693" s="2" t="s">
        <v>258</v>
      </c>
      <c r="O693" s="2">
        <v>105.0</v>
      </c>
      <c r="P693" s="2" t="s">
        <v>1350</v>
      </c>
      <c r="Q693" s="2" t="s">
        <v>1433</v>
      </c>
      <c r="AI693" s="2" t="str">
        <f t="shared" si="17"/>
        <v/>
      </c>
      <c r="AJ693" s="2" t="s">
        <v>49</v>
      </c>
      <c r="AK693" s="2" t="s">
        <v>50</v>
      </c>
    </row>
    <row r="694" ht="15.75" customHeight="1">
      <c r="A694" s="2" t="s">
        <v>1347</v>
      </c>
      <c r="B694" s="3" t="str">
        <f>HYPERLINK("https://www.senado.gob.ar/parlamentario/comisiones/verExp/149.25/PE/RP","149")</f>
        <v>149</v>
      </c>
      <c r="C694" s="3" t="str">
        <f>HYPERLINK("https://www.senado.gob.ar/parlamentario/comisiones/verExp/149.25/PE/RP","2025")</f>
        <v>2025</v>
      </c>
      <c r="D694" s="2" t="s">
        <v>1419</v>
      </c>
      <c r="E694" s="2" t="s">
        <v>1434</v>
      </c>
      <c r="F694" s="2" t="s">
        <v>340</v>
      </c>
      <c r="I694" s="2" t="s">
        <v>1435</v>
      </c>
      <c r="K694" s="2" t="s">
        <v>44</v>
      </c>
      <c r="L694" s="2" t="s">
        <v>1435</v>
      </c>
      <c r="O694" s="2">
        <v>78.0</v>
      </c>
      <c r="P694" s="2" t="s">
        <v>73</v>
      </c>
      <c r="Q694" s="2" t="s">
        <v>1436</v>
      </c>
      <c r="AI694" s="2" t="str">
        <f t="shared" si="17"/>
        <v/>
      </c>
      <c r="AJ694" s="2" t="s">
        <v>49</v>
      </c>
      <c r="AK694" s="2" t="s">
        <v>50</v>
      </c>
    </row>
    <row r="695" ht="15.75" customHeight="1">
      <c r="A695" s="2" t="s">
        <v>1347</v>
      </c>
      <c r="B695" s="3" t="str">
        <f>HYPERLINK("https://www.senado.gob.ar/parlamentario/comisiones/verExp/148.25/PE/RP","148")</f>
        <v>148</v>
      </c>
      <c r="C695" s="3" t="str">
        <f>HYPERLINK("https://www.senado.gob.ar/parlamentario/comisiones/verExp/148.25/PE/RP","2025")</f>
        <v>2025</v>
      </c>
      <c r="D695" s="2" t="s">
        <v>1419</v>
      </c>
      <c r="E695" s="2" t="s">
        <v>1437</v>
      </c>
      <c r="F695" s="2" t="s">
        <v>340</v>
      </c>
      <c r="I695" s="2" t="s">
        <v>1435</v>
      </c>
      <c r="K695" s="2" t="s">
        <v>44</v>
      </c>
      <c r="L695" s="2" t="s">
        <v>1435</v>
      </c>
      <c r="O695" s="2">
        <v>78.0</v>
      </c>
      <c r="P695" s="2" t="s">
        <v>73</v>
      </c>
      <c r="Q695" s="2" t="s">
        <v>1436</v>
      </c>
      <c r="AI695" s="2" t="str">
        <f t="shared" si="17"/>
        <v/>
      </c>
      <c r="AJ695" s="2" t="s">
        <v>49</v>
      </c>
      <c r="AK695" s="2" t="s">
        <v>50</v>
      </c>
    </row>
    <row r="696" ht="15.75" customHeight="1">
      <c r="A696" s="2" t="s">
        <v>39</v>
      </c>
      <c r="B696" s="3" t="str">
        <f>HYPERLINK("https://www.senado.gob.ar/parlamentario/comisiones/verExp/148.25/S/PL","148")</f>
        <v>148</v>
      </c>
      <c r="C696" s="3" t="str">
        <f>HYPERLINK("https://www.senado.gob.ar/parlamentario/comisiones/verExp/148.25/S/PL","2025")</f>
        <v>2025</v>
      </c>
      <c r="D696" s="2" t="s">
        <v>56</v>
      </c>
      <c r="E696" s="2" t="s">
        <v>1438</v>
      </c>
      <c r="F696" s="2" t="s">
        <v>1439</v>
      </c>
      <c r="I696" s="2" t="s">
        <v>1402</v>
      </c>
      <c r="K696" s="2" t="s">
        <v>44</v>
      </c>
      <c r="L696" s="2" t="s">
        <v>1227</v>
      </c>
      <c r="N696" s="2" t="s">
        <v>312</v>
      </c>
      <c r="O696" s="2">
        <v>62.0</v>
      </c>
      <c r="P696" s="2" t="s">
        <v>205</v>
      </c>
      <c r="Q696" s="2" t="s">
        <v>1255</v>
      </c>
      <c r="S696" s="2">
        <v>54.0</v>
      </c>
      <c r="T696" s="2" t="s">
        <v>65</v>
      </c>
      <c r="U696" s="2" t="s">
        <v>1255</v>
      </c>
      <c r="AI696" s="2" t="str">
        <f t="shared" si="17"/>
        <v/>
      </c>
      <c r="AJ696" s="2" t="s">
        <v>49</v>
      </c>
      <c r="AK696" s="2" t="s">
        <v>50</v>
      </c>
    </row>
    <row r="697" ht="15.75" customHeight="1">
      <c r="A697" s="2" t="s">
        <v>1347</v>
      </c>
      <c r="B697" s="3" t="str">
        <f>HYPERLINK("https://www.senado.gob.ar/parlamentario/comisiones/verExp/147.25/PE/CE","147")</f>
        <v>147</v>
      </c>
      <c r="C697" s="3" t="str">
        <f>HYPERLINK("https://www.senado.gob.ar/parlamentario/comisiones/verExp/147.25/PE/CE","2025")</f>
        <v>2025</v>
      </c>
      <c r="D697" s="2" t="s">
        <v>1353</v>
      </c>
      <c r="E697" s="2" t="s">
        <v>1440</v>
      </c>
      <c r="F697" s="2" t="s">
        <v>340</v>
      </c>
      <c r="I697" s="2" t="s">
        <v>1435</v>
      </c>
      <c r="K697" s="2" t="s">
        <v>44</v>
      </c>
      <c r="L697" s="2" t="s">
        <v>1435</v>
      </c>
      <c r="O697" s="2">
        <v>54.0</v>
      </c>
      <c r="P697" s="2" t="s">
        <v>65</v>
      </c>
      <c r="Q697" s="2" t="s">
        <v>1436</v>
      </c>
      <c r="S697" s="2">
        <v>474.0</v>
      </c>
      <c r="T697" s="2" t="s">
        <v>1370</v>
      </c>
      <c r="U697" s="2" t="s">
        <v>658</v>
      </c>
      <c r="AI697" s="2" t="str">
        <f t="shared" si="17"/>
        <v/>
      </c>
      <c r="AJ697" s="2" t="s">
        <v>49</v>
      </c>
      <c r="AK697" s="2" t="s">
        <v>50</v>
      </c>
    </row>
    <row r="698" ht="15.75" customHeight="1">
      <c r="A698" s="2" t="s">
        <v>39</v>
      </c>
      <c r="B698" s="3" t="str">
        <f>HYPERLINK("https://www.senado.gob.ar/parlamentario/comisiones/verExp/147.25/S/PL","147")</f>
        <v>147</v>
      </c>
      <c r="C698" s="3" t="str">
        <f>HYPERLINK("https://www.senado.gob.ar/parlamentario/comisiones/verExp/147.25/S/PL","2025")</f>
        <v>2025</v>
      </c>
      <c r="D698" s="2" t="s">
        <v>56</v>
      </c>
      <c r="E698" s="2" t="s">
        <v>1441</v>
      </c>
      <c r="F698" s="2" t="s">
        <v>1439</v>
      </c>
      <c r="I698" s="2" t="s">
        <v>1402</v>
      </c>
      <c r="K698" s="2" t="s">
        <v>44</v>
      </c>
      <c r="L698" s="2" t="s">
        <v>1227</v>
      </c>
      <c r="N698" s="2" t="s">
        <v>312</v>
      </c>
      <c r="O698" s="2">
        <v>53.0</v>
      </c>
      <c r="P698" s="2" t="s">
        <v>76</v>
      </c>
      <c r="Q698" s="2" t="s">
        <v>1255</v>
      </c>
      <c r="S698" s="2">
        <v>75.0</v>
      </c>
      <c r="T698" s="2" t="s">
        <v>71</v>
      </c>
      <c r="U698" s="2" t="s">
        <v>1255</v>
      </c>
      <c r="AI698" s="2" t="str">
        <f t="shared" si="17"/>
        <v/>
      </c>
      <c r="AJ698" s="2" t="s">
        <v>49</v>
      </c>
      <c r="AK698" s="2" t="s">
        <v>50</v>
      </c>
    </row>
    <row r="699" ht="15.75" customHeight="1">
      <c r="A699" s="2" t="s">
        <v>39</v>
      </c>
      <c r="B699" s="3" t="str">
        <f>HYPERLINK("https://www.senado.gob.ar/parlamentario/comisiones/verExp/146.25/S/PL","146")</f>
        <v>146</v>
      </c>
      <c r="C699" s="3" t="str">
        <f>HYPERLINK("https://www.senado.gob.ar/parlamentario/comisiones/verExp/146.25/S/PL","2025")</f>
        <v>2025</v>
      </c>
      <c r="D699" s="2" t="s">
        <v>56</v>
      </c>
      <c r="E699" s="2" t="s">
        <v>1442</v>
      </c>
      <c r="F699" s="2" t="s">
        <v>1439</v>
      </c>
      <c r="I699" s="2" t="s">
        <v>1402</v>
      </c>
      <c r="K699" s="2" t="s">
        <v>44</v>
      </c>
      <c r="L699" s="2" t="s">
        <v>1227</v>
      </c>
      <c r="N699" s="2" t="s">
        <v>312</v>
      </c>
      <c r="O699" s="2">
        <v>53.0</v>
      </c>
      <c r="P699" s="2" t="s">
        <v>76</v>
      </c>
      <c r="Q699" s="2" t="s">
        <v>1255</v>
      </c>
      <c r="S699" s="2">
        <v>78.0</v>
      </c>
      <c r="T699" s="2" t="s">
        <v>73</v>
      </c>
      <c r="U699" s="2" t="s">
        <v>1255</v>
      </c>
      <c r="AI699" s="2" t="str">
        <f t="shared" si="17"/>
        <v/>
      </c>
      <c r="AJ699" s="2" t="s">
        <v>49</v>
      </c>
      <c r="AK699" s="2" t="s">
        <v>50</v>
      </c>
    </row>
    <row r="700" ht="15.75" customHeight="1">
      <c r="A700" s="2" t="s">
        <v>1347</v>
      </c>
      <c r="B700" s="3" t="str">
        <f>HYPERLINK("https://www.senado.gob.ar/parlamentario/comisiones/verExp/145.25/PE/RP","145")</f>
        <v>145</v>
      </c>
      <c r="C700" s="3" t="str">
        <f>HYPERLINK("https://www.senado.gob.ar/parlamentario/comisiones/verExp/145.25/PE/RP","2025")</f>
        <v>2025</v>
      </c>
      <c r="D700" s="2" t="s">
        <v>1419</v>
      </c>
      <c r="E700" s="2" t="s">
        <v>1443</v>
      </c>
      <c r="F700" s="2" t="s">
        <v>340</v>
      </c>
      <c r="I700" s="2" t="s">
        <v>319</v>
      </c>
      <c r="K700" s="2" t="s">
        <v>44</v>
      </c>
      <c r="L700" s="2" t="s">
        <v>314</v>
      </c>
      <c r="O700" s="2">
        <v>78.0</v>
      </c>
      <c r="P700" s="2" t="s">
        <v>73</v>
      </c>
      <c r="Q700" s="2" t="s">
        <v>1444</v>
      </c>
      <c r="AI700" s="2" t="str">
        <f t="shared" si="17"/>
        <v/>
      </c>
      <c r="AJ700" s="2" t="s">
        <v>49</v>
      </c>
      <c r="AK700" s="2" t="s">
        <v>50</v>
      </c>
    </row>
    <row r="701" ht="15.75" customHeight="1">
      <c r="A701" s="2" t="s">
        <v>1347</v>
      </c>
      <c r="B701" s="3" t="str">
        <f>HYPERLINK("https://www.senado.gob.ar/parlamentario/comisiones/verExp/144.25/PE/RP","144")</f>
        <v>144</v>
      </c>
      <c r="C701" s="3" t="str">
        <f>HYPERLINK("https://www.senado.gob.ar/parlamentario/comisiones/verExp/144.25/PE/RP","2025")</f>
        <v>2025</v>
      </c>
      <c r="D701" s="2" t="s">
        <v>1419</v>
      </c>
      <c r="E701" s="2" t="s">
        <v>1445</v>
      </c>
      <c r="F701" s="2" t="s">
        <v>340</v>
      </c>
      <c r="I701" s="2" t="s">
        <v>319</v>
      </c>
      <c r="K701" s="2" t="s">
        <v>44</v>
      </c>
      <c r="L701" s="2" t="s">
        <v>314</v>
      </c>
      <c r="O701" s="2">
        <v>78.0</v>
      </c>
      <c r="P701" s="2" t="s">
        <v>73</v>
      </c>
      <c r="Q701" s="2" t="s">
        <v>1444</v>
      </c>
      <c r="AI701" s="2" t="str">
        <f t="shared" si="17"/>
        <v/>
      </c>
      <c r="AJ701" s="2" t="s">
        <v>49</v>
      </c>
      <c r="AK701" s="2" t="s">
        <v>50</v>
      </c>
    </row>
    <row r="702" ht="15.75" customHeight="1">
      <c r="A702" s="2" t="s">
        <v>1141</v>
      </c>
      <c r="B702" s="3" t="str">
        <f>HYPERLINK("https://www.senado.gob.ar/parlamentario/comisiones/verExp/143.25/OV/CA","143")</f>
        <v>143</v>
      </c>
      <c r="C702" s="3" t="str">
        <f>HYPERLINK("https://www.senado.gob.ar/parlamentario/comisiones/verExp/143.25/OV/CA","2025")</f>
        <v>2025</v>
      </c>
      <c r="D702" s="2" t="s">
        <v>1219</v>
      </c>
      <c r="E702" s="2" t="s">
        <v>1446</v>
      </c>
      <c r="F702" s="2" t="s">
        <v>602</v>
      </c>
      <c r="I702" s="2" t="s">
        <v>724</v>
      </c>
      <c r="K702" s="2" t="s">
        <v>44</v>
      </c>
      <c r="L702" s="2" t="s">
        <v>724</v>
      </c>
      <c r="O702" s="2">
        <v>100.0</v>
      </c>
      <c r="P702" s="2" t="s">
        <v>1146</v>
      </c>
      <c r="Q702" s="2" t="s">
        <v>1447</v>
      </c>
      <c r="AI702" s="2" t="str">
        <f t="shared" si="17"/>
        <v/>
      </c>
      <c r="AJ702" s="2" t="s">
        <v>49</v>
      </c>
      <c r="AK702" s="2" t="s">
        <v>50</v>
      </c>
    </row>
    <row r="703" ht="15.75" customHeight="1">
      <c r="A703" s="2" t="s">
        <v>1347</v>
      </c>
      <c r="B703" s="3" t="str">
        <f>HYPERLINK("https://www.senado.gob.ar/parlamentario/comisiones/verExp/143.25/PE/DC","143")</f>
        <v>143</v>
      </c>
      <c r="C703" s="3" t="str">
        <f>HYPERLINK("https://www.senado.gob.ar/parlamentario/comisiones/verExp/143.25/PE/DC","2025")</f>
        <v>2025</v>
      </c>
      <c r="D703" s="2" t="s">
        <v>1348</v>
      </c>
      <c r="E703" s="2" t="s">
        <v>1448</v>
      </c>
      <c r="F703" s="2" t="s">
        <v>330</v>
      </c>
      <c r="I703" s="2" t="s">
        <v>331</v>
      </c>
      <c r="K703" s="2" t="s">
        <v>44</v>
      </c>
      <c r="L703" s="2" t="s">
        <v>331</v>
      </c>
      <c r="O703" s="2">
        <v>105.0</v>
      </c>
      <c r="P703" s="2" t="s">
        <v>1350</v>
      </c>
      <c r="Q703" s="2" t="s">
        <v>1449</v>
      </c>
      <c r="AI703" s="2" t="str">
        <f t="shared" si="17"/>
        <v/>
      </c>
      <c r="AJ703" s="2" t="s">
        <v>49</v>
      </c>
      <c r="AK703" s="2" t="s">
        <v>50</v>
      </c>
    </row>
    <row r="704" ht="15.75" customHeight="1">
      <c r="A704" s="2" t="s">
        <v>1347</v>
      </c>
      <c r="B704" s="3" t="str">
        <f>HYPERLINK("https://www.senado.gob.ar/parlamentario/comisiones/verExp/142.25/PE/RP","142")</f>
        <v>142</v>
      </c>
      <c r="C704" s="3" t="str">
        <f>HYPERLINK("https://www.senado.gob.ar/parlamentario/comisiones/verExp/142.25/PE/RP","2025")</f>
        <v>2025</v>
      </c>
      <c r="D704" s="2" t="s">
        <v>1419</v>
      </c>
      <c r="E704" s="2" t="s">
        <v>1450</v>
      </c>
      <c r="F704" s="2" t="s">
        <v>340</v>
      </c>
      <c r="I704" s="2" t="s">
        <v>1451</v>
      </c>
      <c r="K704" s="2" t="s">
        <v>44</v>
      </c>
      <c r="L704" s="2" t="s">
        <v>338</v>
      </c>
      <c r="O704" s="2">
        <v>75.0</v>
      </c>
      <c r="P704" s="2" t="s">
        <v>71</v>
      </c>
      <c r="Q704" s="2" t="s">
        <v>1452</v>
      </c>
      <c r="AI704" s="2" t="str">
        <f t="shared" si="17"/>
        <v/>
      </c>
      <c r="AJ704" s="2" t="s">
        <v>49</v>
      </c>
      <c r="AK704" s="2" t="s">
        <v>50</v>
      </c>
    </row>
    <row r="705" ht="15.75" customHeight="1">
      <c r="A705" s="2" t="s">
        <v>39</v>
      </c>
      <c r="B705" s="3" t="str">
        <f>HYPERLINK("https://www.senado.gob.ar/parlamentario/comisiones/verExp/142.25/S/PL","142")</f>
        <v>142</v>
      </c>
      <c r="C705" s="3" t="str">
        <f>HYPERLINK("https://www.senado.gob.ar/parlamentario/comisiones/verExp/142.25/S/PL","2025")</f>
        <v>2025</v>
      </c>
      <c r="D705" s="2" t="s">
        <v>56</v>
      </c>
      <c r="E705" s="2" t="s">
        <v>1453</v>
      </c>
      <c r="F705" s="2" t="s">
        <v>1439</v>
      </c>
      <c r="I705" s="2" t="s">
        <v>1454</v>
      </c>
      <c r="K705" s="2" t="s">
        <v>44</v>
      </c>
      <c r="L705" s="2" t="s">
        <v>1227</v>
      </c>
      <c r="N705" s="2" t="s">
        <v>377</v>
      </c>
      <c r="O705" s="2">
        <v>76.0</v>
      </c>
      <c r="P705" s="2" t="s">
        <v>233</v>
      </c>
      <c r="Q705" s="2" t="s">
        <v>1255</v>
      </c>
      <c r="S705" s="2">
        <v>75.0</v>
      </c>
      <c r="T705" s="2" t="s">
        <v>71</v>
      </c>
      <c r="U705" s="2" t="s">
        <v>1255</v>
      </c>
      <c r="AI705" s="2" t="str">
        <f t="shared" si="17"/>
        <v/>
      </c>
      <c r="AJ705" s="2" t="s">
        <v>49</v>
      </c>
      <c r="AK705" s="2" t="s">
        <v>50</v>
      </c>
    </row>
    <row r="706" ht="15.75" customHeight="1">
      <c r="A706" s="2" t="s">
        <v>1347</v>
      </c>
      <c r="B706" s="3" t="str">
        <f>HYPERLINK("https://www.senado.gob.ar/parlamentario/comisiones/verExp/141.25/PE/RP","141")</f>
        <v>141</v>
      </c>
      <c r="C706" s="3" t="str">
        <f>HYPERLINK("https://www.senado.gob.ar/parlamentario/comisiones/verExp/141.25/PE/RP","2025")</f>
        <v>2025</v>
      </c>
      <c r="D706" s="2" t="s">
        <v>1419</v>
      </c>
      <c r="E706" s="2" t="s">
        <v>1455</v>
      </c>
      <c r="F706" s="2" t="s">
        <v>340</v>
      </c>
      <c r="I706" s="2" t="s">
        <v>1451</v>
      </c>
      <c r="K706" s="2" t="s">
        <v>44</v>
      </c>
      <c r="L706" s="2" t="s">
        <v>338</v>
      </c>
      <c r="O706" s="2">
        <v>75.0</v>
      </c>
      <c r="P706" s="2" t="s">
        <v>71</v>
      </c>
      <c r="Q706" s="2" t="s">
        <v>1452</v>
      </c>
      <c r="AI706" s="2" t="str">
        <f t="shared" si="17"/>
        <v/>
      </c>
      <c r="AJ706" s="2" t="s">
        <v>49</v>
      </c>
      <c r="AK706" s="2" t="s">
        <v>50</v>
      </c>
    </row>
    <row r="707" ht="15.75" customHeight="1">
      <c r="A707" s="2" t="s">
        <v>39</v>
      </c>
      <c r="B707" s="3" t="str">
        <f>HYPERLINK("https://www.senado.gob.ar/parlamentario/comisiones/verExp/141.25/S/PL","141")</f>
        <v>141</v>
      </c>
      <c r="C707" s="3" t="str">
        <f>HYPERLINK("https://www.senado.gob.ar/parlamentario/comisiones/verExp/141.25/S/PL","2025")</f>
        <v>2025</v>
      </c>
      <c r="D707" s="2" t="s">
        <v>56</v>
      </c>
      <c r="E707" s="2" t="s">
        <v>1456</v>
      </c>
      <c r="F707" s="2" t="s">
        <v>1439</v>
      </c>
      <c r="I707" s="2" t="s">
        <v>1454</v>
      </c>
      <c r="K707" s="2" t="s">
        <v>44</v>
      </c>
      <c r="L707" s="2" t="s">
        <v>1227</v>
      </c>
      <c r="N707" s="2" t="s">
        <v>377</v>
      </c>
      <c r="O707" s="2">
        <v>75.0</v>
      </c>
      <c r="P707" s="2" t="s">
        <v>71</v>
      </c>
      <c r="Q707" s="2" t="s">
        <v>1255</v>
      </c>
      <c r="AI707" s="2" t="str">
        <f t="shared" si="17"/>
        <v/>
      </c>
      <c r="AJ707" s="2" t="s">
        <v>49</v>
      </c>
      <c r="AK707" s="2" t="s">
        <v>50</v>
      </c>
    </row>
    <row r="708" ht="15.75" customHeight="1">
      <c r="A708" s="2" t="s">
        <v>39</v>
      </c>
      <c r="B708" s="3" t="str">
        <f>HYPERLINK("https://www.senado.gob.ar/parlamentario/comisiones/verExp/140.25/S/PL","140")</f>
        <v>140</v>
      </c>
      <c r="C708" s="3" t="str">
        <f>HYPERLINK("https://www.senado.gob.ar/parlamentario/comisiones/verExp/140.25/S/PL","2025")</f>
        <v>2025</v>
      </c>
      <c r="D708" s="2" t="s">
        <v>56</v>
      </c>
      <c r="E708" s="2" t="s">
        <v>1457</v>
      </c>
      <c r="F708" s="2" t="s">
        <v>1439</v>
      </c>
      <c r="I708" s="2" t="s">
        <v>1454</v>
      </c>
      <c r="K708" s="2" t="s">
        <v>44</v>
      </c>
      <c r="L708" s="2" t="s">
        <v>1227</v>
      </c>
      <c r="N708" s="2" t="s">
        <v>377</v>
      </c>
      <c r="O708" s="2">
        <v>75.0</v>
      </c>
      <c r="P708" s="2" t="s">
        <v>71</v>
      </c>
      <c r="Q708" s="2" t="s">
        <v>1255</v>
      </c>
      <c r="AI708" s="2" t="str">
        <f t="shared" si="17"/>
        <v/>
      </c>
      <c r="AJ708" s="2" t="s">
        <v>49</v>
      </c>
      <c r="AK708" s="2" t="s">
        <v>50</v>
      </c>
    </row>
    <row r="709" ht="15.75" customHeight="1">
      <c r="A709" s="2" t="s">
        <v>1141</v>
      </c>
      <c r="B709" s="3" t="str">
        <f>HYPERLINK("https://www.senado.gob.ar/parlamentario/comisiones/verExp/139.25/OV/CA","139")</f>
        <v>139</v>
      </c>
      <c r="C709" s="3" t="str">
        <f>HYPERLINK("https://www.senado.gob.ar/parlamentario/comisiones/verExp/139.25/OV/CA","2025")</f>
        <v>2025</v>
      </c>
      <c r="D709" s="2" t="s">
        <v>1219</v>
      </c>
      <c r="E709" s="2" t="s">
        <v>1458</v>
      </c>
      <c r="F709" s="2" t="s">
        <v>602</v>
      </c>
      <c r="I709" s="2" t="s">
        <v>740</v>
      </c>
      <c r="K709" s="2" t="s">
        <v>44</v>
      </c>
      <c r="L709" s="2" t="s">
        <v>740</v>
      </c>
      <c r="O709" s="2">
        <v>100.0</v>
      </c>
      <c r="P709" s="2" t="s">
        <v>1146</v>
      </c>
      <c r="Q709" s="2" t="s">
        <v>1459</v>
      </c>
      <c r="AI709" s="2" t="str">
        <f t="shared" si="17"/>
        <v/>
      </c>
      <c r="AJ709" s="2" t="s">
        <v>49</v>
      </c>
      <c r="AK709" s="2" t="s">
        <v>50</v>
      </c>
    </row>
    <row r="710" ht="15.75" customHeight="1">
      <c r="A710" s="2" t="s">
        <v>39</v>
      </c>
      <c r="B710" s="3" t="str">
        <f>HYPERLINK("https://www.senado.gob.ar/parlamentario/comisiones/verExp/139.25/S/PL","139")</f>
        <v>139</v>
      </c>
      <c r="C710" s="3" t="str">
        <f>HYPERLINK("https://www.senado.gob.ar/parlamentario/comisiones/verExp/139.25/S/PL","2025")</f>
        <v>2025</v>
      </c>
      <c r="D710" s="2" t="s">
        <v>56</v>
      </c>
      <c r="E710" s="2" t="s">
        <v>1460</v>
      </c>
      <c r="F710" s="2" t="s">
        <v>1439</v>
      </c>
      <c r="I710" s="2" t="s">
        <v>1454</v>
      </c>
      <c r="K710" s="2" t="s">
        <v>44</v>
      </c>
      <c r="L710" s="2" t="s">
        <v>1227</v>
      </c>
      <c r="N710" s="2" t="s">
        <v>377</v>
      </c>
      <c r="O710" s="2">
        <v>75.0</v>
      </c>
      <c r="P710" s="2" t="s">
        <v>71</v>
      </c>
      <c r="Q710" s="2" t="s">
        <v>1255</v>
      </c>
      <c r="S710" s="2">
        <v>54.0</v>
      </c>
      <c r="T710" s="2" t="s">
        <v>65</v>
      </c>
      <c r="U710" s="2" t="s">
        <v>1255</v>
      </c>
      <c r="AI710" s="2" t="str">
        <f t="shared" si="17"/>
        <v/>
      </c>
      <c r="AJ710" s="2" t="s">
        <v>49</v>
      </c>
      <c r="AK710" s="2" t="s">
        <v>50</v>
      </c>
    </row>
    <row r="711" ht="15.75" customHeight="1">
      <c r="A711" s="2" t="s">
        <v>39</v>
      </c>
      <c r="B711" s="3" t="str">
        <f>HYPERLINK("https://www.senado.gob.ar/parlamentario/comisiones/verExp/138.25/S/PL","138")</f>
        <v>138</v>
      </c>
      <c r="C711" s="3" t="str">
        <f>HYPERLINK("https://www.senado.gob.ar/parlamentario/comisiones/verExp/138.25/S/PL","2025")</f>
        <v>2025</v>
      </c>
      <c r="D711" s="2" t="s">
        <v>56</v>
      </c>
      <c r="E711" s="2" t="s">
        <v>1461</v>
      </c>
      <c r="F711" s="2" t="s">
        <v>1462</v>
      </c>
      <c r="I711" s="2" t="s">
        <v>1454</v>
      </c>
      <c r="K711" s="2" t="s">
        <v>44</v>
      </c>
      <c r="L711" s="2" t="s">
        <v>1227</v>
      </c>
      <c r="N711" s="2" t="s">
        <v>377</v>
      </c>
      <c r="O711" s="2">
        <v>75.0</v>
      </c>
      <c r="P711" s="2" t="s">
        <v>71</v>
      </c>
      <c r="Q711" s="2" t="s">
        <v>1255</v>
      </c>
      <c r="S711" s="2">
        <v>73.0</v>
      </c>
      <c r="T711" s="2" t="s">
        <v>237</v>
      </c>
      <c r="U711" s="2" t="s">
        <v>1255</v>
      </c>
      <c r="AI711" s="2" t="str">
        <f t="shared" si="17"/>
        <v/>
      </c>
      <c r="AJ711" s="2" t="s">
        <v>49</v>
      </c>
      <c r="AK711" s="2" t="s">
        <v>50</v>
      </c>
    </row>
    <row r="712" ht="15.75" customHeight="1">
      <c r="A712" s="2" t="s">
        <v>1347</v>
      </c>
      <c r="B712" s="3" t="str">
        <f>HYPERLINK("https://www.senado.gob.ar/parlamentario/comisiones/verExp/137.25/PE/DC","137")</f>
        <v>137</v>
      </c>
      <c r="C712" s="3" t="str">
        <f>HYPERLINK("https://www.senado.gob.ar/parlamentario/comisiones/verExp/137.25/PE/DC","2025")</f>
        <v>2025</v>
      </c>
      <c r="D712" s="2" t="s">
        <v>1348</v>
      </c>
      <c r="E712" s="2" t="s">
        <v>1463</v>
      </c>
      <c r="F712" s="2" t="s">
        <v>370</v>
      </c>
      <c r="I712" s="2" t="s">
        <v>366</v>
      </c>
      <c r="K712" s="2" t="s">
        <v>44</v>
      </c>
      <c r="L712" s="2" t="s">
        <v>366</v>
      </c>
      <c r="O712" s="2">
        <v>315.0</v>
      </c>
      <c r="P712" s="2" t="s">
        <v>271</v>
      </c>
      <c r="Q712" s="2" t="s">
        <v>367</v>
      </c>
      <c r="AI712" s="2" t="str">
        <f t="shared" si="17"/>
        <v/>
      </c>
      <c r="AJ712" s="2" t="s">
        <v>49</v>
      </c>
      <c r="AK712" s="2" t="s">
        <v>50</v>
      </c>
    </row>
    <row r="713" ht="15.75" customHeight="1">
      <c r="A713" s="2" t="s">
        <v>39</v>
      </c>
      <c r="B713" s="3" t="str">
        <f>HYPERLINK("https://www.senado.gob.ar/parlamentario/comisiones/verExp/137.25/S/PL","137")</f>
        <v>137</v>
      </c>
      <c r="C713" s="3" t="str">
        <f>HYPERLINK("https://www.senado.gob.ar/parlamentario/comisiones/verExp/137.25/S/PL","2025")</f>
        <v>2025</v>
      </c>
      <c r="D713" s="2" t="s">
        <v>56</v>
      </c>
      <c r="E713" s="2" t="s">
        <v>1464</v>
      </c>
      <c r="F713" s="2" t="s">
        <v>1462</v>
      </c>
      <c r="I713" s="2" t="s">
        <v>1454</v>
      </c>
      <c r="K713" s="2" t="s">
        <v>44</v>
      </c>
      <c r="L713" s="2" t="s">
        <v>1227</v>
      </c>
      <c r="N713" s="2" t="s">
        <v>377</v>
      </c>
      <c r="O713" s="2">
        <v>76.0</v>
      </c>
      <c r="P713" s="2" t="s">
        <v>233</v>
      </c>
      <c r="Q713" s="2" t="s">
        <v>1255</v>
      </c>
      <c r="S713" s="2">
        <v>75.0</v>
      </c>
      <c r="T713" s="2" t="s">
        <v>71</v>
      </c>
      <c r="U713" s="2" t="s">
        <v>1255</v>
      </c>
      <c r="AI713" s="2" t="str">
        <f t="shared" si="17"/>
        <v/>
      </c>
      <c r="AJ713" s="2" t="s">
        <v>49</v>
      </c>
      <c r="AK713" s="2" t="s">
        <v>50</v>
      </c>
    </row>
    <row r="714" ht="15.75" customHeight="1">
      <c r="A714" s="2" t="s">
        <v>1347</v>
      </c>
      <c r="B714" s="3" t="str">
        <f>HYPERLINK("https://www.senado.gob.ar/parlamentario/comisiones/verExp/136.25/PE/DC","136")</f>
        <v>136</v>
      </c>
      <c r="C714" s="3" t="str">
        <f>HYPERLINK("https://www.senado.gob.ar/parlamentario/comisiones/verExp/136.25/PE/DC","2025")</f>
        <v>2025</v>
      </c>
      <c r="D714" s="2" t="s">
        <v>1348</v>
      </c>
      <c r="E714" s="2" t="s">
        <v>1465</v>
      </c>
      <c r="F714" s="2" t="s">
        <v>370</v>
      </c>
      <c r="I714" s="2" t="s">
        <v>366</v>
      </c>
      <c r="K714" s="2" t="s">
        <v>44</v>
      </c>
      <c r="L714" s="2" t="s">
        <v>366</v>
      </c>
      <c r="O714" s="2">
        <v>105.0</v>
      </c>
      <c r="P714" s="2" t="s">
        <v>1350</v>
      </c>
      <c r="Q714" s="2" t="s">
        <v>1466</v>
      </c>
      <c r="AI714" s="2" t="str">
        <f t="shared" si="17"/>
        <v/>
      </c>
      <c r="AJ714" s="2" t="s">
        <v>49</v>
      </c>
      <c r="AK714" s="2" t="s">
        <v>50</v>
      </c>
    </row>
    <row r="715" ht="15.75" customHeight="1">
      <c r="A715" s="2" t="s">
        <v>39</v>
      </c>
      <c r="B715" s="3" t="str">
        <f>HYPERLINK("https://www.senado.gob.ar/parlamentario/comisiones/verExp/136.25/S/PL","136")</f>
        <v>136</v>
      </c>
      <c r="C715" s="3" t="str">
        <f>HYPERLINK("https://www.senado.gob.ar/parlamentario/comisiones/verExp/136.25/S/PL","2025")</f>
        <v>2025</v>
      </c>
      <c r="D715" s="2" t="s">
        <v>56</v>
      </c>
      <c r="E715" s="2" t="s">
        <v>1467</v>
      </c>
      <c r="F715" s="2" t="s">
        <v>1462</v>
      </c>
      <c r="I715" s="2" t="s">
        <v>1454</v>
      </c>
      <c r="K715" s="2" t="s">
        <v>44</v>
      </c>
      <c r="L715" s="2" t="s">
        <v>1227</v>
      </c>
      <c r="N715" s="2" t="s">
        <v>377</v>
      </c>
      <c r="O715" s="2">
        <v>78.0</v>
      </c>
      <c r="P715" s="2" t="s">
        <v>73</v>
      </c>
      <c r="Q715" s="2" t="s">
        <v>1255</v>
      </c>
      <c r="S715" s="2">
        <v>75.0</v>
      </c>
      <c r="T715" s="2" t="s">
        <v>71</v>
      </c>
      <c r="U715" s="2" t="s">
        <v>1255</v>
      </c>
      <c r="W715" s="2">
        <v>54.0</v>
      </c>
      <c r="X715" s="2" t="s">
        <v>65</v>
      </c>
      <c r="Y715" s="2" t="s">
        <v>1255</v>
      </c>
      <c r="AI715" s="2" t="str">
        <f t="shared" si="17"/>
        <v/>
      </c>
      <c r="AJ715" s="2" t="s">
        <v>49</v>
      </c>
      <c r="AK715" s="2" t="s">
        <v>50</v>
      </c>
    </row>
    <row r="716" ht="15.75" customHeight="1">
      <c r="A716" s="2" t="s">
        <v>1347</v>
      </c>
      <c r="B716" s="3" t="str">
        <f>HYPERLINK("https://www.senado.gob.ar/parlamentario/comisiones/verExp/135.25/PE/CE","135")</f>
        <v>135</v>
      </c>
      <c r="C716" s="3" t="str">
        <f>HYPERLINK("https://www.senado.gob.ar/parlamentario/comisiones/verExp/135.25/PE/CE","2025")</f>
        <v>2025</v>
      </c>
      <c r="D716" s="2" t="s">
        <v>1353</v>
      </c>
      <c r="E716" s="2" t="s">
        <v>1468</v>
      </c>
      <c r="F716" s="2" t="s">
        <v>340</v>
      </c>
      <c r="I716" s="2" t="s">
        <v>382</v>
      </c>
      <c r="K716" s="2" t="s">
        <v>44</v>
      </c>
      <c r="L716" s="2" t="s">
        <v>371</v>
      </c>
      <c r="O716" s="2">
        <v>54.0</v>
      </c>
      <c r="P716" s="2" t="s">
        <v>65</v>
      </c>
      <c r="Q716" s="2" t="s">
        <v>383</v>
      </c>
      <c r="AI716" s="2" t="str">
        <f t="shared" si="17"/>
        <v/>
      </c>
      <c r="AJ716" s="2" t="s">
        <v>49</v>
      </c>
      <c r="AK716" s="2" t="s">
        <v>50</v>
      </c>
    </row>
    <row r="717" ht="15.75" customHeight="1">
      <c r="A717" s="2" t="s">
        <v>39</v>
      </c>
      <c r="B717" s="3" t="str">
        <f>HYPERLINK("https://www.senado.gob.ar/parlamentario/comisiones/verExp/135.25/S/PL","135")</f>
        <v>135</v>
      </c>
      <c r="C717" s="3" t="str">
        <f>HYPERLINK("https://www.senado.gob.ar/parlamentario/comisiones/verExp/135.25/S/PL","2025")</f>
        <v>2025</v>
      </c>
      <c r="D717" s="2" t="s">
        <v>56</v>
      </c>
      <c r="E717" s="2" t="s">
        <v>1469</v>
      </c>
      <c r="F717" s="2" t="s">
        <v>1462</v>
      </c>
      <c r="I717" s="2" t="s">
        <v>1454</v>
      </c>
      <c r="K717" s="2" t="s">
        <v>44</v>
      </c>
      <c r="L717" s="2" t="s">
        <v>1227</v>
      </c>
      <c r="N717" s="2" t="s">
        <v>377</v>
      </c>
      <c r="O717" s="2">
        <v>56.0</v>
      </c>
      <c r="P717" s="2" t="s">
        <v>262</v>
      </c>
      <c r="Q717" s="2" t="s">
        <v>1255</v>
      </c>
      <c r="S717" s="2">
        <v>75.0</v>
      </c>
      <c r="T717" s="2" t="s">
        <v>71</v>
      </c>
      <c r="U717" s="2" t="s">
        <v>1255</v>
      </c>
      <c r="AI717" s="2" t="str">
        <f t="shared" si="17"/>
        <v/>
      </c>
      <c r="AJ717" s="2" t="s">
        <v>49</v>
      </c>
      <c r="AK717" s="2" t="s">
        <v>50</v>
      </c>
    </row>
    <row r="718" ht="15.75" customHeight="1">
      <c r="A718" s="2" t="s">
        <v>1347</v>
      </c>
      <c r="B718" s="3" t="str">
        <f>HYPERLINK("https://www.senado.gob.ar/parlamentario/comisiones/verExp/134.25/PE/DC","134")</f>
        <v>134</v>
      </c>
      <c r="C718" s="3" t="str">
        <f>HYPERLINK("https://www.senado.gob.ar/parlamentario/comisiones/verExp/134.25/PE/DC","2025")</f>
        <v>2025</v>
      </c>
      <c r="D718" s="2" t="s">
        <v>1348</v>
      </c>
      <c r="E718" s="2" t="s">
        <v>1470</v>
      </c>
      <c r="F718" s="2" t="s">
        <v>388</v>
      </c>
      <c r="I718" s="2" t="s">
        <v>390</v>
      </c>
      <c r="K718" s="2" t="s">
        <v>44</v>
      </c>
      <c r="L718" s="2" t="s">
        <v>390</v>
      </c>
      <c r="O718" s="2">
        <v>105.0</v>
      </c>
      <c r="P718" s="2" t="s">
        <v>1350</v>
      </c>
      <c r="Q718" s="2" t="s">
        <v>400</v>
      </c>
      <c r="AI718" s="2" t="str">
        <f t="shared" si="17"/>
        <v/>
      </c>
      <c r="AJ718" s="2" t="s">
        <v>49</v>
      </c>
      <c r="AK718" s="2" t="s">
        <v>50</v>
      </c>
    </row>
    <row r="719" ht="15.75" customHeight="1">
      <c r="A719" s="2" t="s">
        <v>39</v>
      </c>
      <c r="B719" s="3" t="str">
        <f>HYPERLINK("https://www.senado.gob.ar/parlamentario/comisiones/verExp/134.25/S/PL","134")</f>
        <v>134</v>
      </c>
      <c r="C719" s="3" t="str">
        <f>HYPERLINK("https://www.senado.gob.ar/parlamentario/comisiones/verExp/134.25/S/PL","2025")</f>
        <v>2025</v>
      </c>
      <c r="D719" s="2" t="s">
        <v>56</v>
      </c>
      <c r="E719" s="2" t="s">
        <v>1471</v>
      </c>
      <c r="F719" s="2" t="s">
        <v>1462</v>
      </c>
      <c r="I719" s="2" t="s">
        <v>1454</v>
      </c>
      <c r="K719" s="2" t="s">
        <v>44</v>
      </c>
      <c r="L719" s="2" t="s">
        <v>1227</v>
      </c>
      <c r="N719" s="2" t="s">
        <v>377</v>
      </c>
      <c r="O719" s="2">
        <v>75.0</v>
      </c>
      <c r="P719" s="2" t="s">
        <v>71</v>
      </c>
      <c r="Q719" s="2" t="s">
        <v>1255</v>
      </c>
      <c r="AI719" s="2" t="str">
        <f t="shared" si="17"/>
        <v/>
      </c>
      <c r="AJ719" s="2" t="s">
        <v>49</v>
      </c>
      <c r="AK719" s="2" t="s">
        <v>50</v>
      </c>
    </row>
    <row r="720" ht="15.75" customHeight="1">
      <c r="A720" s="2" t="s">
        <v>1347</v>
      </c>
      <c r="B720" s="3" t="str">
        <f>HYPERLINK("https://www.senado.gob.ar/parlamentario/comisiones/verExp/133.25/PE/DC","133")</f>
        <v>133</v>
      </c>
      <c r="C720" s="3" t="str">
        <f>HYPERLINK("https://www.senado.gob.ar/parlamentario/comisiones/verExp/133.25/PE/DC","2025")</f>
        <v>2025</v>
      </c>
      <c r="D720" s="2" t="s">
        <v>1348</v>
      </c>
      <c r="E720" s="2" t="s">
        <v>1472</v>
      </c>
      <c r="F720" s="2" t="s">
        <v>388</v>
      </c>
      <c r="I720" s="2" t="s">
        <v>390</v>
      </c>
      <c r="K720" s="2" t="s">
        <v>44</v>
      </c>
      <c r="L720" s="2" t="s">
        <v>390</v>
      </c>
      <c r="O720" s="2">
        <v>105.0</v>
      </c>
      <c r="P720" s="2" t="s">
        <v>1350</v>
      </c>
      <c r="Q720" s="2" t="s">
        <v>400</v>
      </c>
      <c r="AI720" s="2" t="str">
        <f t="shared" si="17"/>
        <v/>
      </c>
      <c r="AJ720" s="2" t="s">
        <v>49</v>
      </c>
      <c r="AK720" s="2" t="s">
        <v>50</v>
      </c>
    </row>
    <row r="721" ht="15.75" customHeight="1">
      <c r="A721" s="2" t="s">
        <v>39</v>
      </c>
      <c r="B721" s="3" t="str">
        <f>HYPERLINK("https://www.senado.gob.ar/parlamentario/comisiones/verExp/133.25/S/PL","133")</f>
        <v>133</v>
      </c>
      <c r="C721" s="3" t="str">
        <f>HYPERLINK("https://www.senado.gob.ar/parlamentario/comisiones/verExp/133.25/S/PL","2025")</f>
        <v>2025</v>
      </c>
      <c r="D721" s="2" t="s">
        <v>56</v>
      </c>
      <c r="E721" s="2" t="s">
        <v>1473</v>
      </c>
      <c r="F721" s="2" t="s">
        <v>1462</v>
      </c>
      <c r="I721" s="2" t="s">
        <v>1454</v>
      </c>
      <c r="K721" s="2" t="s">
        <v>44</v>
      </c>
      <c r="L721" s="2" t="s">
        <v>1227</v>
      </c>
      <c r="N721" s="2" t="s">
        <v>356</v>
      </c>
      <c r="O721" s="2">
        <v>50.0</v>
      </c>
      <c r="P721" s="2" t="s">
        <v>47</v>
      </c>
      <c r="Q721" s="2" t="s">
        <v>1255</v>
      </c>
      <c r="AI721" s="2" t="str">
        <f t="shared" si="17"/>
        <v/>
      </c>
      <c r="AJ721" s="2" t="s">
        <v>49</v>
      </c>
      <c r="AK721" s="2" t="s">
        <v>50</v>
      </c>
    </row>
    <row r="722" ht="15.75" customHeight="1">
      <c r="A722" s="2" t="s">
        <v>39</v>
      </c>
      <c r="B722" s="3" t="str">
        <f>HYPERLINK("https://www.senado.gob.ar/parlamentario/comisiones/verExp/132.25/S/PL","132")</f>
        <v>132</v>
      </c>
      <c r="C722" s="3" t="str">
        <f>HYPERLINK("https://www.senado.gob.ar/parlamentario/comisiones/verExp/132.25/S/PL","2025")</f>
        <v>2025</v>
      </c>
      <c r="D722" s="2" t="s">
        <v>56</v>
      </c>
      <c r="E722" s="2" t="s">
        <v>1474</v>
      </c>
      <c r="F722" s="2" t="s">
        <v>1462</v>
      </c>
      <c r="I722" s="2" t="s">
        <v>1454</v>
      </c>
      <c r="K722" s="2" t="s">
        <v>44</v>
      </c>
      <c r="L722" s="2" t="s">
        <v>1227</v>
      </c>
      <c r="N722" s="2" t="s">
        <v>356</v>
      </c>
      <c r="O722" s="2">
        <v>67.0</v>
      </c>
      <c r="P722" s="2" t="s">
        <v>84</v>
      </c>
      <c r="Q722" s="2" t="s">
        <v>1255</v>
      </c>
      <c r="AI722" s="2" t="str">
        <f t="shared" si="17"/>
        <v/>
      </c>
      <c r="AJ722" s="2" t="s">
        <v>49</v>
      </c>
      <c r="AK722" s="2" t="s">
        <v>50</v>
      </c>
    </row>
    <row r="723" ht="15.75" customHeight="1">
      <c r="A723" s="2" t="s">
        <v>1347</v>
      </c>
      <c r="B723" s="3" t="str">
        <f>HYPERLINK("https://www.senado.gob.ar/parlamentario/comisiones/verExp/131.25/PE/AC","131")</f>
        <v>131</v>
      </c>
      <c r="C723" s="3" t="str">
        <f>HYPERLINK("https://www.senado.gob.ar/parlamentario/comisiones/verExp/131.25/PE/AC","2025")</f>
        <v>2025</v>
      </c>
      <c r="D723" s="2" t="s">
        <v>1384</v>
      </c>
      <c r="E723" s="2" t="s">
        <v>1475</v>
      </c>
      <c r="F723" s="2" t="s">
        <v>1476</v>
      </c>
      <c r="I723" s="2" t="s">
        <v>444</v>
      </c>
      <c r="K723" s="2" t="s">
        <v>44</v>
      </c>
      <c r="L723" s="2" t="s">
        <v>444</v>
      </c>
      <c r="O723" s="2">
        <v>71.0</v>
      </c>
      <c r="P723" s="2" t="s">
        <v>1387</v>
      </c>
      <c r="Q723" s="2" t="s">
        <v>446</v>
      </c>
      <c r="AI723" s="2" t="str">
        <f t="shared" si="17"/>
        <v/>
      </c>
      <c r="AJ723" s="2" t="s">
        <v>49</v>
      </c>
      <c r="AK723" s="2" t="s">
        <v>50</v>
      </c>
    </row>
    <row r="724" ht="15.75" customHeight="1">
      <c r="A724" s="2" t="s">
        <v>39</v>
      </c>
      <c r="B724" s="3" t="str">
        <f>HYPERLINK("https://www.senado.gob.ar/parlamentario/comisiones/verExp/131.25/S/PL","131")</f>
        <v>131</v>
      </c>
      <c r="C724" s="3" t="str">
        <f>HYPERLINK("https://www.senado.gob.ar/parlamentario/comisiones/verExp/131.25/S/PL","2025")</f>
        <v>2025</v>
      </c>
      <c r="D724" s="2" t="s">
        <v>56</v>
      </c>
      <c r="E724" s="2" t="s">
        <v>1477</v>
      </c>
      <c r="F724" s="2" t="s">
        <v>1462</v>
      </c>
      <c r="I724" s="2" t="s">
        <v>1454</v>
      </c>
      <c r="K724" s="2" t="s">
        <v>44</v>
      </c>
      <c r="L724" s="2" t="s">
        <v>1227</v>
      </c>
      <c r="N724" s="2" t="s">
        <v>356</v>
      </c>
      <c r="O724" s="2">
        <v>67.0</v>
      </c>
      <c r="P724" s="2" t="s">
        <v>84</v>
      </c>
      <c r="Q724" s="2" t="s">
        <v>1255</v>
      </c>
      <c r="AI724" s="2" t="str">
        <f t="shared" si="17"/>
        <v/>
      </c>
      <c r="AJ724" s="2" t="s">
        <v>49</v>
      </c>
      <c r="AK724" s="2" t="s">
        <v>50</v>
      </c>
    </row>
    <row r="725" ht="15.75" customHeight="1">
      <c r="A725" s="2" t="s">
        <v>1347</v>
      </c>
      <c r="B725" s="3" t="str">
        <f>HYPERLINK("https://www.senado.gob.ar/parlamentario/comisiones/verExp/130.25/PE/RP","130")</f>
        <v>130</v>
      </c>
      <c r="C725" s="3" t="str">
        <f>HYPERLINK("https://www.senado.gob.ar/parlamentario/comisiones/verExp/130.25/PE/RP","2025")</f>
        <v>2025</v>
      </c>
      <c r="D725" s="2" t="s">
        <v>1419</v>
      </c>
      <c r="E725" s="2" t="s">
        <v>1478</v>
      </c>
      <c r="F725" s="2" t="s">
        <v>399</v>
      </c>
      <c r="I725" s="2" t="s">
        <v>452</v>
      </c>
      <c r="K725" s="2" t="s">
        <v>44</v>
      </c>
      <c r="L725" s="2" t="s">
        <v>414</v>
      </c>
      <c r="O725" s="2">
        <v>57.0</v>
      </c>
      <c r="P725" s="2" t="s">
        <v>123</v>
      </c>
      <c r="Q725" s="2" t="s">
        <v>450</v>
      </c>
      <c r="AI725" s="2" t="str">
        <f t="shared" si="17"/>
        <v/>
      </c>
      <c r="AJ725" s="2" t="s">
        <v>49</v>
      </c>
      <c r="AK725" s="2" t="s">
        <v>50</v>
      </c>
    </row>
    <row r="726" ht="15.75" customHeight="1">
      <c r="A726" s="2" t="s">
        <v>39</v>
      </c>
      <c r="B726" s="3" t="str">
        <f>HYPERLINK("https://www.senado.gob.ar/parlamentario/comisiones/verExp/130.25/S/PL","130")</f>
        <v>130</v>
      </c>
      <c r="C726" s="3" t="str">
        <f>HYPERLINK("https://www.senado.gob.ar/parlamentario/comisiones/verExp/130.25/S/PL","2025")</f>
        <v>2025</v>
      </c>
      <c r="D726" s="2" t="s">
        <v>56</v>
      </c>
      <c r="E726" s="2" t="s">
        <v>1479</v>
      </c>
      <c r="F726" s="2" t="s">
        <v>1462</v>
      </c>
      <c r="I726" s="2" t="s">
        <v>1454</v>
      </c>
      <c r="K726" s="2" t="s">
        <v>44</v>
      </c>
      <c r="L726" s="2" t="s">
        <v>1227</v>
      </c>
      <c r="M726" s="2" t="s">
        <v>485</v>
      </c>
      <c r="N726" s="2" t="s">
        <v>356</v>
      </c>
      <c r="O726" s="2">
        <v>75.0</v>
      </c>
      <c r="P726" s="2" t="s">
        <v>71</v>
      </c>
      <c r="Q726" s="2" t="s">
        <v>1255</v>
      </c>
      <c r="S726" s="2">
        <v>54.0</v>
      </c>
      <c r="T726" s="2" t="s">
        <v>65</v>
      </c>
      <c r="U726" s="2" t="s">
        <v>1255</v>
      </c>
      <c r="AI726" s="2" t="str">
        <f t="shared" si="17"/>
        <v/>
      </c>
      <c r="AJ726" s="2" t="s">
        <v>49</v>
      </c>
      <c r="AK726" s="2" t="s">
        <v>50</v>
      </c>
    </row>
    <row r="727" ht="15.75" customHeight="1">
      <c r="A727" s="2" t="s">
        <v>1347</v>
      </c>
      <c r="B727" s="3" t="str">
        <f>HYPERLINK("https://www.senado.gob.ar/parlamentario/comisiones/verExp/129.25/PE/DC","129")</f>
        <v>129</v>
      </c>
      <c r="C727" s="3" t="str">
        <f>HYPERLINK("https://www.senado.gob.ar/parlamentario/comisiones/verExp/129.25/PE/DC","2025")</f>
        <v>2025</v>
      </c>
      <c r="D727" s="2" t="s">
        <v>1348</v>
      </c>
      <c r="E727" s="2" t="s">
        <v>1480</v>
      </c>
      <c r="F727" s="2" t="s">
        <v>448</v>
      </c>
      <c r="I727" s="2" t="s">
        <v>452</v>
      </c>
      <c r="K727" s="2" t="s">
        <v>44</v>
      </c>
      <c r="L727" s="2" t="s">
        <v>444</v>
      </c>
      <c r="O727" s="2">
        <v>105.0</v>
      </c>
      <c r="P727" s="2" t="s">
        <v>1350</v>
      </c>
      <c r="Q727" s="2" t="s">
        <v>446</v>
      </c>
      <c r="AI727" s="2" t="str">
        <f t="shared" si="17"/>
        <v/>
      </c>
      <c r="AJ727" s="2" t="s">
        <v>49</v>
      </c>
      <c r="AK727" s="2" t="s">
        <v>50</v>
      </c>
    </row>
    <row r="728" ht="15.75" customHeight="1">
      <c r="A728" s="2" t="s">
        <v>39</v>
      </c>
      <c r="B728" s="3" t="str">
        <f>HYPERLINK("https://www.senado.gob.ar/parlamentario/comisiones/verExp/129.25/S/PL","129")</f>
        <v>129</v>
      </c>
      <c r="C728" s="3" t="str">
        <f>HYPERLINK("https://www.senado.gob.ar/parlamentario/comisiones/verExp/129.25/S/PL","2025")</f>
        <v>2025</v>
      </c>
      <c r="D728" s="2" t="s">
        <v>56</v>
      </c>
      <c r="E728" s="2" t="s">
        <v>1481</v>
      </c>
      <c r="F728" s="2" t="s">
        <v>1462</v>
      </c>
      <c r="I728" s="2" t="s">
        <v>1454</v>
      </c>
      <c r="K728" s="2" t="s">
        <v>44</v>
      </c>
      <c r="L728" s="2" t="s">
        <v>1227</v>
      </c>
      <c r="N728" s="2" t="s">
        <v>356</v>
      </c>
      <c r="O728" s="2">
        <v>53.0</v>
      </c>
      <c r="P728" s="2" t="s">
        <v>76</v>
      </c>
      <c r="Q728" s="2" t="s">
        <v>1255</v>
      </c>
      <c r="AI728" s="2" t="str">
        <f t="shared" si="17"/>
        <v/>
      </c>
      <c r="AJ728" s="2" t="s">
        <v>49</v>
      </c>
      <c r="AK728" s="2" t="s">
        <v>50</v>
      </c>
    </row>
    <row r="729" ht="15.75" customHeight="1">
      <c r="A729" s="2" t="s">
        <v>1347</v>
      </c>
      <c r="B729" s="3" t="str">
        <f>HYPERLINK("https://www.senado.gob.ar/parlamentario/comisiones/verExp/128.25/PE/CE","128")</f>
        <v>128</v>
      </c>
      <c r="C729" s="3" t="str">
        <f>HYPERLINK("https://www.senado.gob.ar/parlamentario/comisiones/verExp/128.25/PE/CE","2025")</f>
        <v>2025</v>
      </c>
      <c r="D729" s="2" t="s">
        <v>1353</v>
      </c>
      <c r="E729" s="2" t="s">
        <v>1482</v>
      </c>
      <c r="F729" s="2" t="s">
        <v>399</v>
      </c>
      <c r="I729" s="2" t="s">
        <v>452</v>
      </c>
      <c r="K729" s="2" t="s">
        <v>44</v>
      </c>
      <c r="L729" s="2" t="s">
        <v>444</v>
      </c>
      <c r="O729" s="2">
        <v>54.0</v>
      </c>
      <c r="P729" s="2" t="s">
        <v>65</v>
      </c>
      <c r="Q729" s="2" t="s">
        <v>446</v>
      </c>
      <c r="S729" s="2">
        <v>474.0</v>
      </c>
      <c r="T729" s="2" t="s">
        <v>1370</v>
      </c>
      <c r="U729" s="2" t="s">
        <v>446</v>
      </c>
      <c r="AI729" s="2" t="str">
        <f t="shared" si="17"/>
        <v/>
      </c>
      <c r="AJ729" s="2" t="s">
        <v>49</v>
      </c>
      <c r="AK729" s="2" t="s">
        <v>50</v>
      </c>
    </row>
    <row r="730" ht="15.75" customHeight="1">
      <c r="A730" s="2" t="s">
        <v>39</v>
      </c>
      <c r="B730" s="3" t="str">
        <f>HYPERLINK("https://www.senado.gob.ar/parlamentario/comisiones/verExp/128.25/S/PL","128")</f>
        <v>128</v>
      </c>
      <c r="C730" s="3" t="str">
        <f>HYPERLINK("https://www.senado.gob.ar/parlamentario/comisiones/verExp/128.25/S/PL","2025")</f>
        <v>2025</v>
      </c>
      <c r="D730" s="2" t="s">
        <v>56</v>
      </c>
      <c r="E730" s="2" t="s">
        <v>1483</v>
      </c>
      <c r="F730" s="2" t="s">
        <v>1462</v>
      </c>
      <c r="I730" s="2" t="s">
        <v>1454</v>
      </c>
      <c r="K730" s="2" t="s">
        <v>44</v>
      </c>
      <c r="L730" s="2" t="s">
        <v>1227</v>
      </c>
      <c r="N730" s="2" t="s">
        <v>356</v>
      </c>
      <c r="O730" s="2">
        <v>53.0</v>
      </c>
      <c r="P730" s="2" t="s">
        <v>76</v>
      </c>
      <c r="Q730" s="2" t="s">
        <v>1255</v>
      </c>
      <c r="AI730" s="2" t="str">
        <f t="shared" si="17"/>
        <v/>
      </c>
      <c r="AJ730" s="2" t="s">
        <v>49</v>
      </c>
      <c r="AK730" s="2" t="s">
        <v>50</v>
      </c>
    </row>
    <row r="731" ht="15.75" customHeight="1">
      <c r="A731" s="2" t="s">
        <v>1347</v>
      </c>
      <c r="B731" s="3" t="str">
        <f>HYPERLINK("https://www.senado.gob.ar/parlamentario/comisiones/verExp/127.25/PE/CE","127")</f>
        <v>127</v>
      </c>
      <c r="C731" s="3" t="str">
        <f>HYPERLINK("https://www.senado.gob.ar/parlamentario/comisiones/verExp/127.25/PE/CE","2025")</f>
        <v>2025</v>
      </c>
      <c r="D731" s="2" t="s">
        <v>1353</v>
      </c>
      <c r="E731" s="2" t="s">
        <v>1484</v>
      </c>
      <c r="F731" s="2" t="s">
        <v>399</v>
      </c>
      <c r="I731" s="2" t="s">
        <v>461</v>
      </c>
      <c r="K731" s="2" t="s">
        <v>44</v>
      </c>
      <c r="L731" s="2" t="s">
        <v>461</v>
      </c>
      <c r="O731" s="2">
        <v>54.0</v>
      </c>
      <c r="P731" s="2" t="s">
        <v>65</v>
      </c>
      <c r="Q731" s="2" t="s">
        <v>1323</v>
      </c>
      <c r="S731" s="2">
        <v>474.0</v>
      </c>
      <c r="T731" s="2" t="s">
        <v>1370</v>
      </c>
      <c r="U731" s="2" t="s">
        <v>1323</v>
      </c>
      <c r="AI731" s="2" t="str">
        <f t="shared" si="17"/>
        <v/>
      </c>
      <c r="AJ731" s="2" t="s">
        <v>49</v>
      </c>
      <c r="AK731" s="2" t="s">
        <v>50</v>
      </c>
    </row>
    <row r="732" ht="15.75" customHeight="1">
      <c r="A732" s="2" t="s">
        <v>39</v>
      </c>
      <c r="B732" s="3" t="str">
        <f>HYPERLINK("https://www.senado.gob.ar/parlamentario/comisiones/verExp/127.25/S/PL","127")</f>
        <v>127</v>
      </c>
      <c r="C732" s="3" t="str">
        <f>HYPERLINK("https://www.senado.gob.ar/parlamentario/comisiones/verExp/127.25/S/PL","2025")</f>
        <v>2025</v>
      </c>
      <c r="D732" s="2" t="s">
        <v>56</v>
      </c>
      <c r="E732" s="2" t="s">
        <v>1485</v>
      </c>
      <c r="F732" s="2" t="s">
        <v>1462</v>
      </c>
      <c r="I732" s="2" t="s">
        <v>1454</v>
      </c>
      <c r="K732" s="2" t="s">
        <v>44</v>
      </c>
      <c r="L732" s="2" t="s">
        <v>1227</v>
      </c>
      <c r="N732" s="2" t="s">
        <v>356</v>
      </c>
      <c r="O732" s="2">
        <v>67.0</v>
      </c>
      <c r="P732" s="2" t="s">
        <v>84</v>
      </c>
      <c r="Q732" s="2" t="s">
        <v>1255</v>
      </c>
      <c r="AI732" s="2" t="str">
        <f t="shared" si="17"/>
        <v/>
      </c>
      <c r="AJ732" s="2" t="s">
        <v>49</v>
      </c>
      <c r="AK732" s="2" t="s">
        <v>50</v>
      </c>
    </row>
    <row r="733" ht="15.75" customHeight="1">
      <c r="A733" s="2" t="s">
        <v>39</v>
      </c>
      <c r="B733" s="3" t="str">
        <f>HYPERLINK("https://www.senado.gob.ar/parlamentario/comisiones/verExp/126.25/S/PL","126")</f>
        <v>126</v>
      </c>
      <c r="C733" s="3" t="str">
        <f>HYPERLINK("https://www.senado.gob.ar/parlamentario/comisiones/verExp/126.25/S/PL","2025")</f>
        <v>2025</v>
      </c>
      <c r="D733" s="2" t="s">
        <v>56</v>
      </c>
      <c r="E733" s="2" t="s">
        <v>1486</v>
      </c>
      <c r="F733" s="2" t="s">
        <v>1462</v>
      </c>
      <c r="I733" s="2" t="s">
        <v>1454</v>
      </c>
      <c r="K733" s="2" t="s">
        <v>44</v>
      </c>
      <c r="L733" s="2" t="s">
        <v>1277</v>
      </c>
      <c r="N733" s="2" t="s">
        <v>356</v>
      </c>
      <c r="O733" s="2">
        <v>69.0</v>
      </c>
      <c r="P733" s="2" t="s">
        <v>135</v>
      </c>
      <c r="Q733" s="2" t="s">
        <v>1487</v>
      </c>
      <c r="S733" s="2">
        <v>53.0</v>
      </c>
      <c r="T733" s="2" t="s">
        <v>76</v>
      </c>
      <c r="U733" s="2" t="s">
        <v>1487</v>
      </c>
      <c r="W733" s="2">
        <v>52.0</v>
      </c>
      <c r="X733" s="2" t="s">
        <v>78</v>
      </c>
      <c r="Y733" s="2" t="s">
        <v>1488</v>
      </c>
      <c r="AI733" s="2" t="str">
        <f t="shared" si="17"/>
        <v/>
      </c>
      <c r="AJ733" s="2" t="s">
        <v>49</v>
      </c>
      <c r="AK733" s="2" t="s">
        <v>50</v>
      </c>
    </row>
    <row r="734" ht="15.75" customHeight="1">
      <c r="A734" s="2" t="s">
        <v>1347</v>
      </c>
      <c r="B734" s="3" t="str">
        <f>HYPERLINK("https://www.senado.gob.ar/parlamentario/comisiones/verExp/125.25/PE/CE","125")</f>
        <v>125</v>
      </c>
      <c r="C734" s="3" t="str">
        <f>HYPERLINK("https://www.senado.gob.ar/parlamentario/comisiones/verExp/125.25/PE/CE","2025")</f>
        <v>2025</v>
      </c>
      <c r="D734" s="2" t="s">
        <v>1353</v>
      </c>
      <c r="E734" s="2" t="s">
        <v>1489</v>
      </c>
      <c r="F734" s="2" t="s">
        <v>494</v>
      </c>
      <c r="I734" s="2" t="s">
        <v>484</v>
      </c>
      <c r="K734" s="2" t="s">
        <v>44</v>
      </c>
      <c r="L734" s="2" t="s">
        <v>484</v>
      </c>
      <c r="O734" s="2">
        <v>54.0</v>
      </c>
      <c r="P734" s="2" t="s">
        <v>65</v>
      </c>
      <c r="Q734" s="2" t="s">
        <v>1043</v>
      </c>
      <c r="S734" s="2">
        <v>474.0</v>
      </c>
      <c r="T734" s="2" t="s">
        <v>1370</v>
      </c>
      <c r="U734" s="2" t="s">
        <v>497</v>
      </c>
      <c r="AI734" s="2" t="str">
        <f t="shared" si="17"/>
        <v/>
      </c>
      <c r="AJ734" s="2" t="s">
        <v>49</v>
      </c>
      <c r="AK734" s="2" t="s">
        <v>50</v>
      </c>
    </row>
    <row r="735" ht="15.75" customHeight="1">
      <c r="A735" s="2" t="s">
        <v>39</v>
      </c>
      <c r="B735" s="3" t="str">
        <f>HYPERLINK("https://www.senado.gob.ar/parlamentario/comisiones/verExp/125.25/S/PL","125")</f>
        <v>125</v>
      </c>
      <c r="C735" s="3" t="str">
        <f>HYPERLINK("https://www.senado.gob.ar/parlamentario/comisiones/verExp/125.25/S/PL","2025")</f>
        <v>2025</v>
      </c>
      <c r="D735" s="2" t="s">
        <v>56</v>
      </c>
      <c r="E735" s="2" t="s">
        <v>1490</v>
      </c>
      <c r="F735" s="2" t="s">
        <v>1462</v>
      </c>
      <c r="I735" s="2" t="s">
        <v>1454</v>
      </c>
      <c r="K735" s="2" t="s">
        <v>44</v>
      </c>
      <c r="L735" s="2" t="s">
        <v>1277</v>
      </c>
      <c r="N735" s="2" t="s">
        <v>356</v>
      </c>
      <c r="O735" s="2">
        <v>78.0</v>
      </c>
      <c r="P735" s="2" t="s">
        <v>73</v>
      </c>
      <c r="Q735" s="2" t="s">
        <v>1487</v>
      </c>
      <c r="S735" s="2">
        <v>75.0</v>
      </c>
      <c r="T735" s="2" t="s">
        <v>71</v>
      </c>
      <c r="U735" s="2" t="s">
        <v>1487</v>
      </c>
      <c r="AI735" s="2" t="str">
        <f t="shared" si="17"/>
        <v/>
      </c>
      <c r="AJ735" s="2" t="s">
        <v>49</v>
      </c>
      <c r="AK735" s="2" t="s">
        <v>50</v>
      </c>
    </row>
    <row r="736" ht="15.75" customHeight="1">
      <c r="A736" s="2" t="s">
        <v>39</v>
      </c>
      <c r="B736" s="3" t="str">
        <f>HYPERLINK("https://www.senado.gob.ar/parlamentario/comisiones/verExp/124.25/S/PL","124")</f>
        <v>124</v>
      </c>
      <c r="C736" s="3" t="str">
        <f>HYPERLINK("https://www.senado.gob.ar/parlamentario/comisiones/verExp/124.25/S/PL","2025")</f>
        <v>2025</v>
      </c>
      <c r="D736" s="2" t="s">
        <v>56</v>
      </c>
      <c r="E736" s="2" t="s">
        <v>1491</v>
      </c>
      <c r="F736" s="2" t="s">
        <v>1462</v>
      </c>
      <c r="I736" s="2" t="s">
        <v>1454</v>
      </c>
      <c r="K736" s="2" t="s">
        <v>44</v>
      </c>
      <c r="L736" s="2" t="s">
        <v>1277</v>
      </c>
      <c r="N736" s="2" t="s">
        <v>356</v>
      </c>
      <c r="O736" s="2">
        <v>53.0</v>
      </c>
      <c r="P736" s="2" t="s">
        <v>76</v>
      </c>
      <c r="Q736" s="2" t="s">
        <v>1487</v>
      </c>
      <c r="AI736" s="2" t="str">
        <f t="shared" si="17"/>
        <v/>
      </c>
      <c r="AJ736" s="2" t="s">
        <v>49</v>
      </c>
      <c r="AK736" s="2" t="s">
        <v>50</v>
      </c>
    </row>
    <row r="737" ht="15.75" customHeight="1">
      <c r="A737" s="2" t="s">
        <v>39</v>
      </c>
      <c r="B737" s="3" t="str">
        <f>HYPERLINK("https://www.senado.gob.ar/parlamentario/comisiones/verExp/123.25/S/PL","123")</f>
        <v>123</v>
      </c>
      <c r="C737" s="3" t="str">
        <f>HYPERLINK("https://www.senado.gob.ar/parlamentario/comisiones/verExp/123.25/S/PL","2025")</f>
        <v>2025</v>
      </c>
      <c r="D737" s="2" t="s">
        <v>56</v>
      </c>
      <c r="E737" s="2" t="s">
        <v>1492</v>
      </c>
      <c r="F737" s="2" t="s">
        <v>1462</v>
      </c>
      <c r="I737" s="2" t="s">
        <v>1454</v>
      </c>
      <c r="K737" s="2" t="s">
        <v>44</v>
      </c>
      <c r="L737" s="2" t="s">
        <v>1277</v>
      </c>
      <c r="N737" s="2" t="s">
        <v>356</v>
      </c>
      <c r="O737" s="2">
        <v>69.0</v>
      </c>
      <c r="P737" s="2" t="s">
        <v>135</v>
      </c>
      <c r="Q737" s="2" t="s">
        <v>1487</v>
      </c>
      <c r="S737" s="2">
        <v>54.0</v>
      </c>
      <c r="T737" s="2" t="s">
        <v>65</v>
      </c>
      <c r="U737" s="2" t="s">
        <v>1487</v>
      </c>
      <c r="AI737" s="2" t="str">
        <f t="shared" si="17"/>
        <v/>
      </c>
      <c r="AJ737" s="2" t="s">
        <v>49</v>
      </c>
      <c r="AK737" s="2" t="s">
        <v>50</v>
      </c>
    </row>
    <row r="738" ht="15.75" customHeight="1">
      <c r="A738" s="2" t="s">
        <v>1347</v>
      </c>
      <c r="B738" s="3" t="str">
        <f>HYPERLINK("https://www.senado.gob.ar/parlamentario/comisiones/verExp/122.25/PE/DC","122")</f>
        <v>122</v>
      </c>
      <c r="C738" s="3" t="str">
        <f>HYPERLINK("https://www.senado.gob.ar/parlamentario/comisiones/verExp/122.25/PE/DC","2025")</f>
        <v>2025</v>
      </c>
      <c r="D738" s="2" t="s">
        <v>1348</v>
      </c>
      <c r="E738" s="2" t="s">
        <v>1493</v>
      </c>
      <c r="F738" s="2" t="s">
        <v>509</v>
      </c>
      <c r="I738" s="2" t="s">
        <v>505</v>
      </c>
      <c r="K738" s="2" t="s">
        <v>44</v>
      </c>
      <c r="L738" s="2" t="s">
        <v>505</v>
      </c>
      <c r="O738" s="2">
        <v>105.0</v>
      </c>
      <c r="P738" s="2" t="s">
        <v>1350</v>
      </c>
      <c r="Q738" s="2" t="s">
        <v>1494</v>
      </c>
      <c r="AI738" s="2" t="str">
        <f t="shared" si="17"/>
        <v/>
      </c>
      <c r="AJ738" s="2" t="s">
        <v>49</v>
      </c>
      <c r="AK738" s="2" t="s">
        <v>50</v>
      </c>
    </row>
    <row r="739" ht="15.75" customHeight="1">
      <c r="A739" s="2" t="s">
        <v>39</v>
      </c>
      <c r="B739" s="3" t="str">
        <f>HYPERLINK("https://www.senado.gob.ar/parlamentario/comisiones/verExp/122.25/S/PL","122")</f>
        <v>122</v>
      </c>
      <c r="C739" s="3" t="str">
        <f>HYPERLINK("https://www.senado.gob.ar/parlamentario/comisiones/verExp/122.25/S/PL","2025")</f>
        <v>2025</v>
      </c>
      <c r="D739" s="2" t="s">
        <v>56</v>
      </c>
      <c r="E739" s="2" t="s">
        <v>1495</v>
      </c>
      <c r="F739" s="2" t="s">
        <v>1462</v>
      </c>
      <c r="I739" s="2" t="s">
        <v>1454</v>
      </c>
      <c r="K739" s="2" t="s">
        <v>44</v>
      </c>
      <c r="L739" s="2" t="s">
        <v>1277</v>
      </c>
      <c r="N739" s="2" t="s">
        <v>356</v>
      </c>
      <c r="O739" s="2">
        <v>69.0</v>
      </c>
      <c r="P739" s="2" t="s">
        <v>135</v>
      </c>
      <c r="Q739" s="2" t="s">
        <v>1487</v>
      </c>
      <c r="S739" s="2">
        <v>52.0</v>
      </c>
      <c r="T739" s="2" t="s">
        <v>78</v>
      </c>
      <c r="U739" s="2" t="s">
        <v>1488</v>
      </c>
      <c r="AI739" s="2" t="str">
        <f t="shared" si="17"/>
        <v/>
      </c>
      <c r="AJ739" s="2" t="s">
        <v>49</v>
      </c>
      <c r="AK739" s="2" t="s">
        <v>50</v>
      </c>
    </row>
    <row r="740" ht="15.75" customHeight="1">
      <c r="A740" s="2" t="s">
        <v>1347</v>
      </c>
      <c r="B740" s="3" t="str">
        <f>HYPERLINK("https://www.senado.gob.ar/parlamentario/comisiones/verExp/121.25/PE/DC","121")</f>
        <v>121</v>
      </c>
      <c r="C740" s="3" t="str">
        <f>HYPERLINK("https://www.senado.gob.ar/parlamentario/comisiones/verExp/121.25/PE/DC","2025")</f>
        <v>2025</v>
      </c>
      <c r="D740" s="2" t="s">
        <v>1348</v>
      </c>
      <c r="E740" s="2" t="s">
        <v>1496</v>
      </c>
      <c r="F740" s="2" t="s">
        <v>509</v>
      </c>
      <c r="I740" s="2" t="s">
        <v>505</v>
      </c>
      <c r="K740" s="2" t="s">
        <v>44</v>
      </c>
      <c r="L740" s="2" t="s">
        <v>505</v>
      </c>
      <c r="O740" s="2">
        <v>105.0</v>
      </c>
      <c r="P740" s="2" t="s">
        <v>1350</v>
      </c>
      <c r="Q740" s="2" t="s">
        <v>1494</v>
      </c>
      <c r="AI740" s="2" t="str">
        <f t="shared" si="17"/>
        <v/>
      </c>
      <c r="AJ740" s="2" t="s">
        <v>49</v>
      </c>
      <c r="AK740" s="2" t="s">
        <v>50</v>
      </c>
    </row>
    <row r="741" ht="15.75" customHeight="1">
      <c r="A741" s="2" t="s">
        <v>39</v>
      </c>
      <c r="B741" s="3" t="str">
        <f>HYPERLINK("https://www.senado.gob.ar/parlamentario/comisiones/verExp/121.25/S/PL","121")</f>
        <v>121</v>
      </c>
      <c r="C741" s="3" t="str">
        <f>HYPERLINK("https://www.senado.gob.ar/parlamentario/comisiones/verExp/121.25/S/PL","2025")</f>
        <v>2025</v>
      </c>
      <c r="D741" s="2" t="s">
        <v>56</v>
      </c>
      <c r="E741" s="2" t="s">
        <v>1497</v>
      </c>
      <c r="F741" s="2" t="s">
        <v>1462</v>
      </c>
      <c r="I741" s="2" t="s">
        <v>1454</v>
      </c>
      <c r="K741" s="2" t="s">
        <v>44</v>
      </c>
      <c r="L741" s="2" t="s">
        <v>1277</v>
      </c>
      <c r="N741" s="2" t="s">
        <v>356</v>
      </c>
      <c r="O741" s="2">
        <v>65.0</v>
      </c>
      <c r="P741" s="2" t="s">
        <v>153</v>
      </c>
      <c r="Q741" s="2" t="s">
        <v>1487</v>
      </c>
      <c r="S741" s="2">
        <v>54.0</v>
      </c>
      <c r="T741" s="2" t="s">
        <v>65</v>
      </c>
      <c r="U741" s="2" t="s">
        <v>1487</v>
      </c>
      <c r="AI741" s="2" t="str">
        <f t="shared" si="17"/>
        <v/>
      </c>
      <c r="AJ741" s="2" t="s">
        <v>49</v>
      </c>
      <c r="AK741" s="2" t="s">
        <v>50</v>
      </c>
    </row>
    <row r="742" ht="15.75" customHeight="1">
      <c r="A742" s="2" t="s">
        <v>39</v>
      </c>
      <c r="B742" s="3" t="str">
        <f>HYPERLINK("https://www.senado.gob.ar/parlamentario/comisiones/verExp/120.25/S/PL","120")</f>
        <v>120</v>
      </c>
      <c r="C742" s="3" t="str">
        <f>HYPERLINK("https://www.senado.gob.ar/parlamentario/comisiones/verExp/120.25/S/PL","2025")</f>
        <v>2025</v>
      </c>
      <c r="D742" s="2" t="s">
        <v>56</v>
      </c>
      <c r="E742" s="2" t="s">
        <v>1498</v>
      </c>
      <c r="F742" s="2" t="s">
        <v>1462</v>
      </c>
      <c r="I742" s="2" t="s">
        <v>1454</v>
      </c>
      <c r="K742" s="2" t="s">
        <v>44</v>
      </c>
      <c r="L742" s="2" t="s">
        <v>1277</v>
      </c>
      <c r="N742" s="2" t="s">
        <v>356</v>
      </c>
      <c r="O742" s="2">
        <v>62.0</v>
      </c>
      <c r="P742" s="2" t="s">
        <v>205</v>
      </c>
      <c r="Q742" s="2" t="s">
        <v>1487</v>
      </c>
      <c r="S742" s="2">
        <v>54.0</v>
      </c>
      <c r="T742" s="2" t="s">
        <v>65</v>
      </c>
      <c r="U742" s="2" t="s">
        <v>1487</v>
      </c>
      <c r="AI742" s="2" t="str">
        <f t="shared" si="17"/>
        <v/>
      </c>
      <c r="AJ742" s="2" t="s">
        <v>49</v>
      </c>
      <c r="AK742" s="2" t="s">
        <v>50</v>
      </c>
    </row>
    <row r="743" ht="15.75" customHeight="1">
      <c r="A743" s="2" t="s">
        <v>39</v>
      </c>
      <c r="B743" s="3" t="str">
        <f>HYPERLINK("https://www.senado.gob.ar/parlamentario/comisiones/verExp/119.25/S/PL","119")</f>
        <v>119</v>
      </c>
      <c r="C743" s="3" t="str">
        <f>HYPERLINK("https://www.senado.gob.ar/parlamentario/comisiones/verExp/119.25/S/PL","2025")</f>
        <v>2025</v>
      </c>
      <c r="D743" s="2" t="s">
        <v>56</v>
      </c>
      <c r="E743" s="2" t="s">
        <v>1499</v>
      </c>
      <c r="F743" s="2" t="s">
        <v>1462</v>
      </c>
      <c r="I743" s="2" t="s">
        <v>1454</v>
      </c>
      <c r="K743" s="2" t="s">
        <v>44</v>
      </c>
      <c r="L743" s="2" t="s">
        <v>1277</v>
      </c>
      <c r="N743" s="2" t="s">
        <v>356</v>
      </c>
      <c r="O743" s="2">
        <v>53.0</v>
      </c>
      <c r="P743" s="2" t="s">
        <v>76</v>
      </c>
      <c r="Q743" s="2" t="s">
        <v>1487</v>
      </c>
      <c r="S743" s="2">
        <v>52.0</v>
      </c>
      <c r="T743" s="2" t="s">
        <v>78</v>
      </c>
      <c r="U743" s="2" t="s">
        <v>1488</v>
      </c>
      <c r="AI743" s="2" t="str">
        <f t="shared" si="17"/>
        <v/>
      </c>
      <c r="AJ743" s="2" t="s">
        <v>49</v>
      </c>
      <c r="AK743" s="2" t="s">
        <v>50</v>
      </c>
    </row>
    <row r="744" ht="15.75" customHeight="1">
      <c r="A744" s="2" t="s">
        <v>39</v>
      </c>
      <c r="B744" s="3" t="str">
        <f>HYPERLINK("https://www.senado.gob.ar/parlamentario/comisiones/verExp/118.25/S/PL","118")</f>
        <v>118</v>
      </c>
      <c r="C744" s="3" t="str">
        <f>HYPERLINK("https://www.senado.gob.ar/parlamentario/comisiones/verExp/118.25/S/PL","2025")</f>
        <v>2025</v>
      </c>
      <c r="D744" s="2" t="s">
        <v>56</v>
      </c>
      <c r="E744" s="2" t="s">
        <v>1500</v>
      </c>
      <c r="F744" s="2" t="s">
        <v>1501</v>
      </c>
      <c r="I744" s="2" t="s">
        <v>1454</v>
      </c>
      <c r="K744" s="2" t="s">
        <v>44</v>
      </c>
      <c r="L744" s="2" t="s">
        <v>1277</v>
      </c>
      <c r="N744" s="2" t="s">
        <v>356</v>
      </c>
      <c r="O744" s="2">
        <v>62.0</v>
      </c>
      <c r="P744" s="2" t="s">
        <v>205</v>
      </c>
      <c r="Q744" s="2" t="s">
        <v>1487</v>
      </c>
      <c r="S744" s="2">
        <v>54.0</v>
      </c>
      <c r="T744" s="2" t="s">
        <v>65</v>
      </c>
      <c r="U744" s="2" t="s">
        <v>1487</v>
      </c>
      <c r="AI744" s="2" t="str">
        <f t="shared" si="17"/>
        <v/>
      </c>
      <c r="AJ744" s="2" t="s">
        <v>49</v>
      </c>
      <c r="AK744" s="2" t="s">
        <v>50</v>
      </c>
    </row>
    <row r="745" ht="15.75" customHeight="1">
      <c r="A745" s="2" t="s">
        <v>1347</v>
      </c>
      <c r="B745" s="3" t="str">
        <f>HYPERLINK("https://www.senado.gob.ar/parlamentario/comisiones/verExp/117.25/PE/CE","117")</f>
        <v>117</v>
      </c>
      <c r="C745" s="3" t="str">
        <f>HYPERLINK("https://www.senado.gob.ar/parlamentario/comisiones/verExp/117.25/PE/CE","2025")</f>
        <v>2025</v>
      </c>
      <c r="D745" s="2" t="s">
        <v>1353</v>
      </c>
      <c r="E745" s="2" t="s">
        <v>1502</v>
      </c>
      <c r="F745" s="2" t="s">
        <v>535</v>
      </c>
      <c r="I745" s="2" t="s">
        <v>561</v>
      </c>
      <c r="K745" s="2" t="s">
        <v>44</v>
      </c>
      <c r="L745" s="2" t="s">
        <v>546</v>
      </c>
      <c r="O745" s="2">
        <v>315.0</v>
      </c>
      <c r="P745" s="2" t="s">
        <v>271</v>
      </c>
      <c r="Q745" s="2" t="s">
        <v>1503</v>
      </c>
      <c r="AI745" s="2" t="str">
        <f t="shared" si="17"/>
        <v/>
      </c>
      <c r="AJ745" s="2" t="s">
        <v>49</v>
      </c>
      <c r="AK745" s="2" t="s">
        <v>50</v>
      </c>
    </row>
    <row r="746" ht="15.75" customHeight="1">
      <c r="A746" s="2" t="s">
        <v>39</v>
      </c>
      <c r="B746" s="3" t="str">
        <f>HYPERLINK("https://www.senado.gob.ar/parlamentario/comisiones/verExp/117.25/S/PL","117")</f>
        <v>117</v>
      </c>
      <c r="C746" s="3" t="str">
        <f>HYPERLINK("https://www.senado.gob.ar/parlamentario/comisiones/verExp/117.25/S/PL","2025")</f>
        <v>2025</v>
      </c>
      <c r="D746" s="2" t="s">
        <v>56</v>
      </c>
      <c r="E746" s="2" t="s">
        <v>1504</v>
      </c>
      <c r="F746" s="2" t="s">
        <v>1501</v>
      </c>
      <c r="I746" s="2" t="s">
        <v>1454</v>
      </c>
      <c r="K746" s="2" t="s">
        <v>44</v>
      </c>
      <c r="L746" s="2" t="s">
        <v>1277</v>
      </c>
      <c r="N746" s="2" t="s">
        <v>356</v>
      </c>
      <c r="O746" s="2">
        <v>65.0</v>
      </c>
      <c r="P746" s="2" t="s">
        <v>153</v>
      </c>
      <c r="Q746" s="2" t="s">
        <v>1487</v>
      </c>
      <c r="S746" s="2">
        <v>54.0</v>
      </c>
      <c r="T746" s="2" t="s">
        <v>65</v>
      </c>
      <c r="U746" s="2" t="s">
        <v>1487</v>
      </c>
      <c r="AI746" s="2" t="str">
        <f t="shared" si="17"/>
        <v/>
      </c>
      <c r="AJ746" s="2" t="s">
        <v>49</v>
      </c>
      <c r="AK746" s="2" t="s">
        <v>50</v>
      </c>
    </row>
    <row r="747" ht="15.75" customHeight="1">
      <c r="A747" s="2" t="s">
        <v>1347</v>
      </c>
      <c r="B747" s="3" t="str">
        <f>HYPERLINK("https://www.senado.gob.ar/parlamentario/comisiones/verExp/116.25/PE/DC","116")</f>
        <v>116</v>
      </c>
      <c r="C747" s="3" t="str">
        <f>HYPERLINK("https://www.senado.gob.ar/parlamentario/comisiones/verExp/116.25/PE/DC","2025")</f>
        <v>2025</v>
      </c>
      <c r="D747" s="2" t="s">
        <v>1348</v>
      </c>
      <c r="E747" s="2" t="s">
        <v>1505</v>
      </c>
      <c r="F747" s="2" t="s">
        <v>1506</v>
      </c>
      <c r="I747" s="2" t="s">
        <v>561</v>
      </c>
      <c r="K747" s="2" t="s">
        <v>44</v>
      </c>
      <c r="L747" s="2" t="s">
        <v>546</v>
      </c>
      <c r="O747" s="2">
        <v>315.0</v>
      </c>
      <c r="P747" s="2" t="s">
        <v>271</v>
      </c>
      <c r="Q747" s="2" t="s">
        <v>1503</v>
      </c>
      <c r="AI747" s="2" t="str">
        <f t="shared" si="17"/>
        <v/>
      </c>
      <c r="AJ747" s="2" t="s">
        <v>49</v>
      </c>
      <c r="AK747" s="2" t="s">
        <v>50</v>
      </c>
    </row>
    <row r="748" ht="15.75" customHeight="1">
      <c r="A748" s="2" t="s">
        <v>39</v>
      </c>
      <c r="B748" s="3" t="str">
        <f>HYPERLINK("https://www.senado.gob.ar/parlamentario/comisiones/verExp/116.25/S/PL","116")</f>
        <v>116</v>
      </c>
      <c r="C748" s="3" t="str">
        <f>HYPERLINK("https://www.senado.gob.ar/parlamentario/comisiones/verExp/116.25/S/PL","2025")</f>
        <v>2025</v>
      </c>
      <c r="D748" s="2" t="s">
        <v>56</v>
      </c>
      <c r="E748" s="2" t="s">
        <v>1507</v>
      </c>
      <c r="F748" s="2" t="s">
        <v>1501</v>
      </c>
      <c r="I748" s="2" t="s">
        <v>1454</v>
      </c>
      <c r="K748" s="2" t="s">
        <v>44</v>
      </c>
      <c r="L748" s="2" t="s">
        <v>1277</v>
      </c>
      <c r="N748" s="2" t="s">
        <v>356</v>
      </c>
      <c r="O748" s="2">
        <v>62.0</v>
      </c>
      <c r="P748" s="2" t="s">
        <v>205</v>
      </c>
      <c r="Q748" s="2" t="s">
        <v>1487</v>
      </c>
      <c r="S748" s="2">
        <v>54.0</v>
      </c>
      <c r="T748" s="2" t="s">
        <v>65</v>
      </c>
      <c r="U748" s="2" t="s">
        <v>1487</v>
      </c>
      <c r="AI748" s="2" t="str">
        <f t="shared" si="17"/>
        <v/>
      </c>
      <c r="AJ748" s="2" t="s">
        <v>49</v>
      </c>
      <c r="AK748" s="2" t="s">
        <v>50</v>
      </c>
    </row>
    <row r="749" ht="15.75" customHeight="1">
      <c r="A749" s="2" t="s">
        <v>39</v>
      </c>
      <c r="B749" s="3" t="str">
        <f>HYPERLINK("https://www.senado.gob.ar/parlamentario/comisiones/verExp/115.25/S/PL","115")</f>
        <v>115</v>
      </c>
      <c r="C749" s="3" t="str">
        <f>HYPERLINK("https://www.senado.gob.ar/parlamentario/comisiones/verExp/115.25/S/PL","2025")</f>
        <v>2025</v>
      </c>
      <c r="D749" s="2" t="s">
        <v>56</v>
      </c>
      <c r="E749" s="2" t="s">
        <v>1508</v>
      </c>
      <c r="F749" s="2" t="s">
        <v>1501</v>
      </c>
      <c r="I749" s="2" t="s">
        <v>1454</v>
      </c>
      <c r="K749" s="2" t="s">
        <v>44</v>
      </c>
      <c r="L749" s="2" t="s">
        <v>1277</v>
      </c>
      <c r="N749" s="2" t="s">
        <v>356</v>
      </c>
      <c r="O749" s="2">
        <v>65.0</v>
      </c>
      <c r="P749" s="2" t="s">
        <v>153</v>
      </c>
      <c r="Q749" s="2" t="s">
        <v>1487</v>
      </c>
      <c r="S749" s="2">
        <v>54.0</v>
      </c>
      <c r="T749" s="2" t="s">
        <v>65</v>
      </c>
      <c r="U749" s="2" t="s">
        <v>1487</v>
      </c>
      <c r="AI749" s="2" t="str">
        <f t="shared" si="17"/>
        <v/>
      </c>
      <c r="AJ749" s="2" t="s">
        <v>49</v>
      </c>
      <c r="AK749" s="2" t="s">
        <v>50</v>
      </c>
    </row>
    <row r="750" ht="15.75" customHeight="1">
      <c r="A750" s="2" t="s">
        <v>39</v>
      </c>
      <c r="B750" s="3" t="str">
        <f>HYPERLINK("https://www.senado.gob.ar/parlamentario/comisiones/verExp/114.25/S/PL","114")</f>
        <v>114</v>
      </c>
      <c r="C750" s="3" t="str">
        <f>HYPERLINK("https://www.senado.gob.ar/parlamentario/comisiones/verExp/114.25/S/PL","2025")</f>
        <v>2025</v>
      </c>
      <c r="D750" s="2" t="s">
        <v>56</v>
      </c>
      <c r="E750" s="2" t="s">
        <v>1509</v>
      </c>
      <c r="F750" s="2" t="s">
        <v>1501</v>
      </c>
      <c r="I750" s="2" t="s">
        <v>1454</v>
      </c>
      <c r="K750" s="2" t="s">
        <v>44</v>
      </c>
      <c r="L750" s="2" t="s">
        <v>1277</v>
      </c>
      <c r="N750" s="2" t="s">
        <v>356</v>
      </c>
      <c r="O750" s="2">
        <v>55.0</v>
      </c>
      <c r="P750" s="2" t="s">
        <v>336</v>
      </c>
      <c r="Q750" s="2" t="s">
        <v>1487</v>
      </c>
      <c r="AI750" s="2" t="str">
        <f t="shared" si="17"/>
        <v/>
      </c>
      <c r="AJ750" s="2" t="s">
        <v>49</v>
      </c>
      <c r="AK750" s="2" t="s">
        <v>50</v>
      </c>
    </row>
    <row r="751" ht="15.75" customHeight="1">
      <c r="A751" s="2" t="s">
        <v>1347</v>
      </c>
      <c r="B751" s="3" t="str">
        <f>HYPERLINK("https://www.senado.gob.ar/parlamentario/comisiones/verExp/113.25/PE/CE","113")</f>
        <v>113</v>
      </c>
      <c r="C751" s="3" t="str">
        <f>HYPERLINK("https://www.senado.gob.ar/parlamentario/comisiones/verExp/113.25/PE/CE","2025")</f>
        <v>2025</v>
      </c>
      <c r="D751" s="2" t="s">
        <v>1353</v>
      </c>
      <c r="E751" s="2" t="s">
        <v>1510</v>
      </c>
      <c r="F751" s="2" t="s">
        <v>535</v>
      </c>
      <c r="I751" s="2" t="s">
        <v>576</v>
      </c>
      <c r="K751" s="2" t="s">
        <v>44</v>
      </c>
      <c r="L751" s="2" t="s">
        <v>574</v>
      </c>
      <c r="O751" s="2">
        <v>54.0</v>
      </c>
      <c r="P751" s="2" t="s">
        <v>65</v>
      </c>
      <c r="Q751" s="2" t="s">
        <v>1511</v>
      </c>
      <c r="S751" s="2">
        <v>58.0</v>
      </c>
      <c r="T751" s="2" t="s">
        <v>194</v>
      </c>
      <c r="U751" s="2" t="s">
        <v>1511</v>
      </c>
      <c r="W751" s="2">
        <v>111.0</v>
      </c>
      <c r="X751" s="2" t="s">
        <v>1431</v>
      </c>
      <c r="Y751" s="2" t="s">
        <v>1511</v>
      </c>
      <c r="AI751" s="2" t="str">
        <f t="shared" si="17"/>
        <v/>
      </c>
      <c r="AJ751" s="2" t="s">
        <v>49</v>
      </c>
      <c r="AK751" s="2" t="s">
        <v>50</v>
      </c>
    </row>
    <row r="752" ht="15.75" customHeight="1">
      <c r="A752" s="2" t="s">
        <v>39</v>
      </c>
      <c r="B752" s="3" t="str">
        <f>HYPERLINK("https://www.senado.gob.ar/parlamentario/comisiones/verExp/113.25/S/PL","113")</f>
        <v>113</v>
      </c>
      <c r="C752" s="3" t="str">
        <f>HYPERLINK("https://www.senado.gob.ar/parlamentario/comisiones/verExp/113.25/S/PL","2025")</f>
        <v>2025</v>
      </c>
      <c r="D752" s="2" t="s">
        <v>56</v>
      </c>
      <c r="E752" s="2" t="s">
        <v>1512</v>
      </c>
      <c r="F752" s="2" t="s">
        <v>1501</v>
      </c>
      <c r="I752" s="2" t="s">
        <v>1454</v>
      </c>
      <c r="K752" s="2" t="s">
        <v>44</v>
      </c>
      <c r="L752" s="2" t="s">
        <v>1277</v>
      </c>
      <c r="N752" s="2" t="s">
        <v>356</v>
      </c>
      <c r="O752" s="2">
        <v>62.0</v>
      </c>
      <c r="P752" s="2" t="s">
        <v>205</v>
      </c>
      <c r="Q752" s="2" t="s">
        <v>1487</v>
      </c>
      <c r="S752" s="2">
        <v>54.0</v>
      </c>
      <c r="T752" s="2" t="s">
        <v>65</v>
      </c>
      <c r="U752" s="2" t="s">
        <v>1487</v>
      </c>
      <c r="AI752" s="2" t="str">
        <f t="shared" si="17"/>
        <v/>
      </c>
      <c r="AJ752" s="2" t="s">
        <v>49</v>
      </c>
      <c r="AK752" s="2" t="s">
        <v>50</v>
      </c>
    </row>
    <row r="753" ht="15.75" customHeight="1">
      <c r="A753" s="2" t="s">
        <v>1347</v>
      </c>
      <c r="B753" s="3" t="str">
        <f>HYPERLINK("https://www.senado.gob.ar/parlamentario/comisiones/verExp/112.25/PE/DC","112")</f>
        <v>112</v>
      </c>
      <c r="C753" s="3" t="str">
        <f>HYPERLINK("https://www.senado.gob.ar/parlamentario/comisiones/verExp/112.25/PE/DC","2025")</f>
        <v>2025</v>
      </c>
      <c r="D753" s="2" t="s">
        <v>1348</v>
      </c>
      <c r="E753" s="2" t="s">
        <v>1513</v>
      </c>
      <c r="F753" s="2" t="s">
        <v>579</v>
      </c>
      <c r="I753" s="2" t="s">
        <v>581</v>
      </c>
      <c r="K753" s="2" t="s">
        <v>44</v>
      </c>
      <c r="L753" s="2" t="s">
        <v>581</v>
      </c>
      <c r="O753" s="2">
        <v>105.0</v>
      </c>
      <c r="P753" s="2" t="s">
        <v>1350</v>
      </c>
      <c r="Q753" s="2" t="s">
        <v>1514</v>
      </c>
      <c r="AI753" s="2" t="str">
        <f t="shared" si="17"/>
        <v/>
      </c>
      <c r="AJ753" s="2" t="s">
        <v>49</v>
      </c>
      <c r="AK753" s="2" t="s">
        <v>50</v>
      </c>
    </row>
    <row r="754" ht="15.75" customHeight="1">
      <c r="A754" s="2" t="s">
        <v>39</v>
      </c>
      <c r="B754" s="3" t="str">
        <f>HYPERLINK("https://www.senado.gob.ar/parlamentario/comisiones/verExp/112.25/S/PL","112")</f>
        <v>112</v>
      </c>
      <c r="C754" s="3" t="str">
        <f>HYPERLINK("https://www.senado.gob.ar/parlamentario/comisiones/verExp/112.25/S/PL","2025")</f>
        <v>2025</v>
      </c>
      <c r="D754" s="2" t="s">
        <v>56</v>
      </c>
      <c r="E754" s="2" t="s">
        <v>1515</v>
      </c>
      <c r="F754" s="2" t="s">
        <v>1501</v>
      </c>
      <c r="I754" s="2" t="s">
        <v>1454</v>
      </c>
      <c r="K754" s="2" t="s">
        <v>44</v>
      </c>
      <c r="L754" s="2" t="s">
        <v>1277</v>
      </c>
      <c r="N754" s="2" t="s">
        <v>356</v>
      </c>
      <c r="O754" s="2">
        <v>75.0</v>
      </c>
      <c r="P754" s="2" t="s">
        <v>71</v>
      </c>
      <c r="Q754" s="2" t="s">
        <v>1487</v>
      </c>
      <c r="S754" s="2">
        <v>69.0</v>
      </c>
      <c r="T754" s="2" t="s">
        <v>135</v>
      </c>
      <c r="U754" s="2" t="s">
        <v>1487</v>
      </c>
      <c r="AI754" s="2" t="str">
        <f t="shared" si="17"/>
        <v/>
      </c>
      <c r="AJ754" s="2" t="s">
        <v>49</v>
      </c>
      <c r="AK754" s="2" t="s">
        <v>50</v>
      </c>
    </row>
    <row r="755" ht="15.75" customHeight="1">
      <c r="A755" s="2" t="s">
        <v>1347</v>
      </c>
      <c r="B755" s="3" t="str">
        <f>HYPERLINK("https://www.senado.gob.ar/parlamentario/comisiones/verExp/111.25/PE/DC","111")</f>
        <v>111</v>
      </c>
      <c r="C755" s="3" t="str">
        <f>HYPERLINK("https://www.senado.gob.ar/parlamentario/comisiones/verExp/111.25/PE/DC","2025")</f>
        <v>2025</v>
      </c>
      <c r="D755" s="2" t="s">
        <v>1348</v>
      </c>
      <c r="E755" s="2" t="s">
        <v>1516</v>
      </c>
      <c r="F755" s="2" t="s">
        <v>1517</v>
      </c>
      <c r="I755" s="2" t="s">
        <v>608</v>
      </c>
      <c r="K755" s="2" t="s">
        <v>44</v>
      </c>
      <c r="L755" s="2" t="s">
        <v>608</v>
      </c>
      <c r="O755" s="2">
        <v>105.0</v>
      </c>
      <c r="P755" s="2" t="s">
        <v>1350</v>
      </c>
      <c r="Q755" s="2" t="s">
        <v>1518</v>
      </c>
      <c r="AI755" s="2" t="str">
        <f t="shared" si="17"/>
        <v/>
      </c>
      <c r="AJ755" s="2" t="s">
        <v>49</v>
      </c>
      <c r="AK755" s="2" t="s">
        <v>50</v>
      </c>
    </row>
    <row r="756" ht="15.75" customHeight="1">
      <c r="A756" s="2" t="s">
        <v>39</v>
      </c>
      <c r="B756" s="3" t="str">
        <f>HYPERLINK("https://www.senado.gob.ar/parlamentario/comisiones/verExp/111.25/S/PL","111")</f>
        <v>111</v>
      </c>
      <c r="C756" s="3" t="str">
        <f>HYPERLINK("https://www.senado.gob.ar/parlamentario/comisiones/verExp/111.25/S/PL","2025")</f>
        <v>2025</v>
      </c>
      <c r="D756" s="2" t="s">
        <v>56</v>
      </c>
      <c r="E756" s="2" t="s">
        <v>1519</v>
      </c>
      <c r="F756" s="2" t="s">
        <v>1501</v>
      </c>
      <c r="I756" s="2" t="s">
        <v>1454</v>
      </c>
      <c r="K756" s="2" t="s">
        <v>44</v>
      </c>
      <c r="L756" s="2" t="s">
        <v>1277</v>
      </c>
      <c r="N756" s="2" t="s">
        <v>356</v>
      </c>
      <c r="O756" s="2">
        <v>61.0</v>
      </c>
      <c r="P756" s="2" t="s">
        <v>104</v>
      </c>
      <c r="Q756" s="2" t="s">
        <v>1487</v>
      </c>
      <c r="AI756" s="2" t="str">
        <f t="shared" si="17"/>
        <v/>
      </c>
      <c r="AJ756" s="2" t="s">
        <v>49</v>
      </c>
      <c r="AK756" s="2" t="s">
        <v>50</v>
      </c>
    </row>
    <row r="757" ht="15.75" customHeight="1">
      <c r="A757" s="2" t="s">
        <v>1347</v>
      </c>
      <c r="B757" s="3" t="str">
        <f>HYPERLINK("https://www.senado.gob.ar/parlamentario/comisiones/verExp/110.25/PE/AC","110")</f>
        <v>110</v>
      </c>
      <c r="C757" s="3" t="str">
        <f>HYPERLINK("https://www.senado.gob.ar/parlamentario/comisiones/verExp/110.25/PE/AC","2025")</f>
        <v>2025</v>
      </c>
      <c r="D757" s="2" t="s">
        <v>1384</v>
      </c>
      <c r="E757" s="2" t="s">
        <v>1520</v>
      </c>
      <c r="F757" s="2" t="s">
        <v>1521</v>
      </c>
      <c r="I757" s="2" t="s">
        <v>1522</v>
      </c>
      <c r="K757" s="2" t="s">
        <v>44</v>
      </c>
      <c r="L757" s="2" t="s">
        <v>608</v>
      </c>
      <c r="O757" s="2">
        <v>71.0</v>
      </c>
      <c r="P757" s="2" t="s">
        <v>1387</v>
      </c>
      <c r="Q757" s="2" t="s">
        <v>1518</v>
      </c>
      <c r="AI757" s="2" t="str">
        <f t="shared" si="17"/>
        <v/>
      </c>
      <c r="AJ757" s="2" t="s">
        <v>49</v>
      </c>
      <c r="AK757" s="2" t="s">
        <v>50</v>
      </c>
    </row>
    <row r="758" ht="15.75" customHeight="1">
      <c r="A758" s="2" t="s">
        <v>39</v>
      </c>
      <c r="B758" s="3" t="str">
        <f>HYPERLINK("https://www.senado.gob.ar/parlamentario/comisiones/verExp/110.25/S/PL","110")</f>
        <v>110</v>
      </c>
      <c r="C758" s="3" t="str">
        <f>HYPERLINK("https://www.senado.gob.ar/parlamentario/comisiones/verExp/110.25/S/PL","2025")</f>
        <v>2025</v>
      </c>
      <c r="D758" s="2" t="s">
        <v>56</v>
      </c>
      <c r="E758" s="2" t="s">
        <v>1523</v>
      </c>
      <c r="F758" s="2" t="s">
        <v>1501</v>
      </c>
      <c r="I758" s="2" t="s">
        <v>1454</v>
      </c>
      <c r="K758" s="2" t="s">
        <v>44</v>
      </c>
      <c r="L758" s="2" t="s">
        <v>1277</v>
      </c>
      <c r="N758" s="2" t="s">
        <v>356</v>
      </c>
      <c r="O758" s="2">
        <v>53.0</v>
      </c>
      <c r="P758" s="2" t="s">
        <v>76</v>
      </c>
      <c r="Q758" s="2" t="s">
        <v>1487</v>
      </c>
      <c r="AI758" s="2" t="str">
        <f t="shared" si="17"/>
        <v/>
      </c>
      <c r="AJ758" s="2" t="s">
        <v>49</v>
      </c>
      <c r="AK758" s="2" t="s">
        <v>50</v>
      </c>
    </row>
    <row r="759" ht="15.75" customHeight="1">
      <c r="A759" s="2" t="s">
        <v>1347</v>
      </c>
      <c r="B759" s="3" t="str">
        <f>HYPERLINK("https://www.senado.gob.ar/parlamentario/comisiones/verExp/109.25/PE/AC","109")</f>
        <v>109</v>
      </c>
      <c r="C759" s="3" t="str">
        <f>HYPERLINK("https://www.senado.gob.ar/parlamentario/comisiones/verExp/109.25/PE/AC","2025")</f>
        <v>2025</v>
      </c>
      <c r="D759" s="2" t="s">
        <v>1384</v>
      </c>
      <c r="E759" s="2" t="s">
        <v>1524</v>
      </c>
      <c r="F759" s="2" t="s">
        <v>1521</v>
      </c>
      <c r="I759" s="2" t="s">
        <v>1522</v>
      </c>
      <c r="K759" s="2" t="s">
        <v>44</v>
      </c>
      <c r="L759" s="2" t="s">
        <v>608</v>
      </c>
      <c r="O759" s="2">
        <v>71.0</v>
      </c>
      <c r="P759" s="2" t="s">
        <v>1387</v>
      </c>
      <c r="Q759" s="2" t="s">
        <v>1518</v>
      </c>
      <c r="AI759" s="2" t="str">
        <f t="shared" si="17"/>
        <v/>
      </c>
      <c r="AJ759" s="2" t="s">
        <v>49</v>
      </c>
      <c r="AK759" s="2" t="s">
        <v>50</v>
      </c>
    </row>
    <row r="760" ht="15.75" customHeight="1">
      <c r="A760" s="2" t="s">
        <v>39</v>
      </c>
      <c r="B760" s="3" t="str">
        <f>HYPERLINK("https://www.senado.gob.ar/parlamentario/comisiones/verExp/109.25/S/PL","109")</f>
        <v>109</v>
      </c>
      <c r="C760" s="3" t="str">
        <f>HYPERLINK("https://www.senado.gob.ar/parlamentario/comisiones/verExp/109.25/S/PL","2025")</f>
        <v>2025</v>
      </c>
      <c r="D760" s="2" t="s">
        <v>56</v>
      </c>
      <c r="E760" s="2" t="s">
        <v>1525</v>
      </c>
      <c r="F760" s="2" t="s">
        <v>1501</v>
      </c>
      <c r="I760" s="2" t="s">
        <v>1454</v>
      </c>
      <c r="K760" s="2" t="s">
        <v>44</v>
      </c>
      <c r="L760" s="2" t="s">
        <v>1277</v>
      </c>
      <c r="N760" s="2" t="s">
        <v>356</v>
      </c>
      <c r="O760" s="2">
        <v>54.0</v>
      </c>
      <c r="P760" s="2" t="s">
        <v>65</v>
      </c>
      <c r="Q760" s="2" t="s">
        <v>1487</v>
      </c>
      <c r="AI760" s="2" t="str">
        <f t="shared" si="17"/>
        <v/>
      </c>
      <c r="AJ760" s="2" t="s">
        <v>49</v>
      </c>
      <c r="AK760" s="2" t="s">
        <v>50</v>
      </c>
    </row>
    <row r="761" ht="15.75" customHeight="1">
      <c r="A761" s="2" t="s">
        <v>1347</v>
      </c>
      <c r="B761" s="3" t="str">
        <f>HYPERLINK("https://www.senado.gob.ar/parlamentario/comisiones/verExp/108.25/PE/AC","108")</f>
        <v>108</v>
      </c>
      <c r="C761" s="3" t="str">
        <f>HYPERLINK("https://www.senado.gob.ar/parlamentario/comisiones/verExp/108.25/PE/AC","2025")</f>
        <v>2025</v>
      </c>
      <c r="D761" s="2" t="s">
        <v>1384</v>
      </c>
      <c r="E761" s="2" t="s">
        <v>1526</v>
      </c>
      <c r="F761" s="2" t="s">
        <v>1521</v>
      </c>
      <c r="I761" s="2" t="s">
        <v>1522</v>
      </c>
      <c r="K761" s="2" t="s">
        <v>44</v>
      </c>
      <c r="L761" s="2" t="s">
        <v>608</v>
      </c>
      <c r="O761" s="2">
        <v>71.0</v>
      </c>
      <c r="P761" s="2" t="s">
        <v>1387</v>
      </c>
      <c r="Q761" s="2" t="s">
        <v>1518</v>
      </c>
      <c r="AI761" s="2" t="str">
        <f t="shared" si="17"/>
        <v/>
      </c>
      <c r="AJ761" s="2" t="s">
        <v>49</v>
      </c>
      <c r="AK761" s="2" t="s">
        <v>50</v>
      </c>
    </row>
    <row r="762" ht="15.75" customHeight="1">
      <c r="A762" s="2" t="s">
        <v>39</v>
      </c>
      <c r="B762" s="3" t="str">
        <f>HYPERLINK("https://www.senado.gob.ar/parlamentario/comisiones/verExp/108.25/S/PL","108")</f>
        <v>108</v>
      </c>
      <c r="C762" s="3" t="str">
        <f>HYPERLINK("https://www.senado.gob.ar/parlamentario/comisiones/verExp/108.25/S/PL","2025")</f>
        <v>2025</v>
      </c>
      <c r="D762" s="2" t="s">
        <v>56</v>
      </c>
      <c r="E762" s="2" t="s">
        <v>1527</v>
      </c>
      <c r="F762" s="2" t="s">
        <v>1501</v>
      </c>
      <c r="I762" s="2" t="s">
        <v>1454</v>
      </c>
      <c r="K762" s="2" t="s">
        <v>1247</v>
      </c>
      <c r="L762" s="2" t="s">
        <v>1528</v>
      </c>
      <c r="N762" s="2" t="s">
        <v>356</v>
      </c>
      <c r="O762" s="2">
        <v>75.0</v>
      </c>
      <c r="P762" s="2" t="s">
        <v>71</v>
      </c>
      <c r="Q762" s="2" t="s">
        <v>1487</v>
      </c>
      <c r="R762" s="2" t="s">
        <v>912</v>
      </c>
      <c r="S762" s="2">
        <v>75.0</v>
      </c>
      <c r="T762" s="2" t="s">
        <v>71</v>
      </c>
      <c r="U762" s="2" t="s">
        <v>659</v>
      </c>
      <c r="AI762" s="3" t="str">
        <f>HYPERLINK("https://www.senado.gob.ar/parlamentario/parlamentaria/ordenDelDiaResultadoLink/2025/292"," 292 2025 RB -")</f>
        <v> 292 2025 RB -</v>
      </c>
      <c r="AJ762" s="2" t="s">
        <v>49</v>
      </c>
      <c r="AK762" s="2" t="s">
        <v>50</v>
      </c>
    </row>
    <row r="763" ht="15.75" customHeight="1">
      <c r="A763" s="2" t="s">
        <v>1347</v>
      </c>
      <c r="B763" s="3" t="str">
        <f>HYPERLINK("https://www.senado.gob.ar/parlamentario/comisiones/verExp/107.25/PE/AC","107")</f>
        <v>107</v>
      </c>
      <c r="C763" s="3" t="str">
        <f>HYPERLINK("https://www.senado.gob.ar/parlamentario/comisiones/verExp/107.25/PE/AC","2025")</f>
        <v>2025</v>
      </c>
      <c r="D763" s="2" t="s">
        <v>1384</v>
      </c>
      <c r="E763" s="2" t="s">
        <v>1529</v>
      </c>
      <c r="F763" s="2" t="s">
        <v>1521</v>
      </c>
      <c r="I763" s="2" t="s">
        <v>1522</v>
      </c>
      <c r="K763" s="2" t="s">
        <v>44</v>
      </c>
      <c r="L763" s="2" t="s">
        <v>608</v>
      </c>
      <c r="O763" s="2">
        <v>71.0</v>
      </c>
      <c r="P763" s="2" t="s">
        <v>1387</v>
      </c>
      <c r="Q763" s="2" t="s">
        <v>1518</v>
      </c>
      <c r="AI763" s="2" t="str">
        <f t="shared" ref="AI763:AI965" si="18">HYPERLINK("","")</f>
        <v/>
      </c>
      <c r="AJ763" s="2" t="s">
        <v>49</v>
      </c>
      <c r="AK763" s="2" t="s">
        <v>50</v>
      </c>
    </row>
    <row r="764" ht="15.75" customHeight="1">
      <c r="A764" s="2" t="s">
        <v>39</v>
      </c>
      <c r="B764" s="3" t="str">
        <f>HYPERLINK("https://www.senado.gob.ar/parlamentario/comisiones/verExp/107.25/S/PL","107")</f>
        <v>107</v>
      </c>
      <c r="C764" s="3" t="str">
        <f>HYPERLINK("https://www.senado.gob.ar/parlamentario/comisiones/verExp/107.25/S/PL","2025")</f>
        <v>2025</v>
      </c>
      <c r="D764" s="2" t="s">
        <v>56</v>
      </c>
      <c r="E764" s="2" t="s">
        <v>1530</v>
      </c>
      <c r="F764" s="2" t="s">
        <v>1501</v>
      </c>
      <c r="I764" s="2" t="s">
        <v>1454</v>
      </c>
      <c r="K764" s="2" t="s">
        <v>44</v>
      </c>
      <c r="L764" s="2" t="s">
        <v>1277</v>
      </c>
      <c r="N764" s="2" t="s">
        <v>356</v>
      </c>
      <c r="O764" s="2">
        <v>69.0</v>
      </c>
      <c r="P764" s="2" t="s">
        <v>135</v>
      </c>
      <c r="Q764" s="2" t="s">
        <v>1487</v>
      </c>
      <c r="AI764" s="2" t="str">
        <f t="shared" si="18"/>
        <v/>
      </c>
      <c r="AJ764" s="2" t="s">
        <v>49</v>
      </c>
      <c r="AK764" s="2" t="s">
        <v>50</v>
      </c>
    </row>
    <row r="765" ht="15.75" customHeight="1">
      <c r="A765" s="2" t="s">
        <v>1347</v>
      </c>
      <c r="B765" s="3" t="str">
        <f>HYPERLINK("https://www.senado.gob.ar/parlamentario/comisiones/verExp/106.25/PE/AC","106")</f>
        <v>106</v>
      </c>
      <c r="C765" s="3" t="str">
        <f>HYPERLINK("https://www.senado.gob.ar/parlamentario/comisiones/verExp/106.25/PE/AC","2025")</f>
        <v>2025</v>
      </c>
      <c r="D765" s="2" t="s">
        <v>1384</v>
      </c>
      <c r="E765" s="2" t="s">
        <v>1531</v>
      </c>
      <c r="F765" s="2" t="s">
        <v>1521</v>
      </c>
      <c r="I765" s="2" t="s">
        <v>1522</v>
      </c>
      <c r="K765" s="2" t="s">
        <v>44</v>
      </c>
      <c r="L765" s="2" t="s">
        <v>608</v>
      </c>
      <c r="O765" s="2">
        <v>71.0</v>
      </c>
      <c r="P765" s="2" t="s">
        <v>1387</v>
      </c>
      <c r="Q765" s="2" t="s">
        <v>1518</v>
      </c>
      <c r="AI765" s="2" t="str">
        <f t="shared" si="18"/>
        <v/>
      </c>
      <c r="AJ765" s="2" t="s">
        <v>49</v>
      </c>
      <c r="AK765" s="2" t="s">
        <v>50</v>
      </c>
    </row>
    <row r="766" ht="15.75" customHeight="1">
      <c r="A766" s="2" t="s">
        <v>1347</v>
      </c>
      <c r="B766" s="3" t="str">
        <f>HYPERLINK("https://www.senado.gob.ar/parlamentario/comisiones/verExp/105.25/PE/AC","105")</f>
        <v>105</v>
      </c>
      <c r="C766" s="3" t="str">
        <f>HYPERLINK("https://www.senado.gob.ar/parlamentario/comisiones/verExp/105.25/PE/AC","2025")</f>
        <v>2025</v>
      </c>
      <c r="D766" s="2" t="s">
        <v>1384</v>
      </c>
      <c r="E766" s="2" t="s">
        <v>1532</v>
      </c>
      <c r="F766" s="2" t="s">
        <v>1521</v>
      </c>
      <c r="I766" s="2" t="s">
        <v>1522</v>
      </c>
      <c r="K766" s="2" t="s">
        <v>44</v>
      </c>
      <c r="L766" s="2" t="s">
        <v>608</v>
      </c>
      <c r="O766" s="2">
        <v>71.0</v>
      </c>
      <c r="P766" s="2" t="s">
        <v>1387</v>
      </c>
      <c r="Q766" s="2" t="s">
        <v>1518</v>
      </c>
      <c r="AI766" s="2" t="str">
        <f t="shared" si="18"/>
        <v/>
      </c>
      <c r="AJ766" s="2" t="s">
        <v>49</v>
      </c>
      <c r="AK766" s="2" t="s">
        <v>50</v>
      </c>
    </row>
    <row r="767" ht="15.75" customHeight="1">
      <c r="A767" s="2" t="s">
        <v>1347</v>
      </c>
      <c r="B767" s="3" t="str">
        <f>HYPERLINK("https://www.senado.gob.ar/parlamentario/comisiones/verExp/104.25/PE/DC","104")</f>
        <v>104</v>
      </c>
      <c r="C767" s="3" t="str">
        <f>HYPERLINK("https://www.senado.gob.ar/parlamentario/comisiones/verExp/104.25/PE/DC","2025")</f>
        <v>2025</v>
      </c>
      <c r="D767" s="2" t="s">
        <v>1348</v>
      </c>
      <c r="E767" s="2" t="s">
        <v>1533</v>
      </c>
      <c r="F767" s="2" t="s">
        <v>626</v>
      </c>
      <c r="I767" s="2" t="s">
        <v>627</v>
      </c>
      <c r="K767" s="2" t="s">
        <v>44</v>
      </c>
      <c r="L767" s="2" t="s">
        <v>627</v>
      </c>
      <c r="O767" s="2">
        <v>105.0</v>
      </c>
      <c r="P767" s="2" t="s">
        <v>1350</v>
      </c>
      <c r="Q767" s="2" t="s">
        <v>829</v>
      </c>
      <c r="AI767" s="2" t="str">
        <f t="shared" si="18"/>
        <v/>
      </c>
      <c r="AJ767" s="2" t="s">
        <v>49</v>
      </c>
      <c r="AK767" s="2" t="s">
        <v>50</v>
      </c>
    </row>
    <row r="768" ht="15.75" customHeight="1">
      <c r="A768" s="2" t="s">
        <v>1347</v>
      </c>
      <c r="B768" s="3" t="str">
        <f>HYPERLINK("https://www.senado.gob.ar/parlamentario/comisiones/verExp/103.25/PE/DC","103")</f>
        <v>103</v>
      </c>
      <c r="C768" s="3" t="str">
        <f>HYPERLINK("https://www.senado.gob.ar/parlamentario/comisiones/verExp/103.25/PE/DC","2025")</f>
        <v>2025</v>
      </c>
      <c r="D768" s="2" t="s">
        <v>1348</v>
      </c>
      <c r="E768" s="2" t="s">
        <v>1534</v>
      </c>
      <c r="F768" s="2" t="s">
        <v>626</v>
      </c>
      <c r="I768" s="2" t="s">
        <v>627</v>
      </c>
      <c r="K768" s="2" t="s">
        <v>44</v>
      </c>
      <c r="L768" s="2" t="s">
        <v>627</v>
      </c>
      <c r="O768" s="2">
        <v>105.0</v>
      </c>
      <c r="P768" s="2" t="s">
        <v>1350</v>
      </c>
      <c r="Q768" s="2" t="s">
        <v>829</v>
      </c>
      <c r="AI768" s="2" t="str">
        <f t="shared" si="18"/>
        <v/>
      </c>
      <c r="AJ768" s="2" t="s">
        <v>49</v>
      </c>
      <c r="AK768" s="2" t="s">
        <v>50</v>
      </c>
    </row>
    <row r="769" ht="15.75" customHeight="1">
      <c r="A769" s="2" t="s">
        <v>1347</v>
      </c>
      <c r="B769" s="3" t="str">
        <f>HYPERLINK("https://www.senado.gob.ar/parlamentario/comisiones/verExp/102.25/PE/DC","102")</f>
        <v>102</v>
      </c>
      <c r="C769" s="3" t="str">
        <f>HYPERLINK("https://www.senado.gob.ar/parlamentario/comisiones/verExp/102.25/PE/DC","2025")</f>
        <v>2025</v>
      </c>
      <c r="D769" s="2" t="s">
        <v>1348</v>
      </c>
      <c r="E769" s="2" t="s">
        <v>1535</v>
      </c>
      <c r="F769" s="2" t="s">
        <v>634</v>
      </c>
      <c r="I769" s="2" t="s">
        <v>635</v>
      </c>
      <c r="K769" s="2" t="s">
        <v>44</v>
      </c>
      <c r="L769" s="2" t="s">
        <v>635</v>
      </c>
      <c r="O769" s="2">
        <v>105.0</v>
      </c>
      <c r="P769" s="2" t="s">
        <v>1350</v>
      </c>
      <c r="Q769" s="2" t="s">
        <v>1536</v>
      </c>
      <c r="AI769" s="2" t="str">
        <f t="shared" si="18"/>
        <v/>
      </c>
      <c r="AJ769" s="2" t="s">
        <v>49</v>
      </c>
      <c r="AK769" s="2" t="s">
        <v>50</v>
      </c>
    </row>
    <row r="770" ht="15.75" customHeight="1">
      <c r="A770" s="2" t="s">
        <v>1347</v>
      </c>
      <c r="B770" s="3" t="str">
        <f>HYPERLINK("https://www.senado.gob.ar/parlamentario/comisiones/verExp/100.25/PE/DC","100")</f>
        <v>100</v>
      </c>
      <c r="C770" s="3" t="str">
        <f>HYPERLINK("https://www.senado.gob.ar/parlamentario/comisiones/verExp/100.25/PE/DC","2025")</f>
        <v>2025</v>
      </c>
      <c r="D770" s="2" t="s">
        <v>1348</v>
      </c>
      <c r="E770" s="2" t="s">
        <v>1537</v>
      </c>
      <c r="F770" s="2" t="s">
        <v>648</v>
      </c>
      <c r="I770" s="2" t="s">
        <v>1538</v>
      </c>
      <c r="K770" s="2" t="s">
        <v>44</v>
      </c>
      <c r="L770" s="2" t="s">
        <v>645</v>
      </c>
      <c r="O770" s="2">
        <v>315.0</v>
      </c>
      <c r="P770" s="2" t="s">
        <v>271</v>
      </c>
      <c r="Q770" s="2" t="s">
        <v>650</v>
      </c>
      <c r="AI770" s="2" t="str">
        <f t="shared" si="18"/>
        <v/>
      </c>
      <c r="AJ770" s="2" t="s">
        <v>49</v>
      </c>
      <c r="AK770" s="2" t="s">
        <v>50</v>
      </c>
    </row>
    <row r="771" ht="15.75" customHeight="1">
      <c r="A771" s="2" t="s">
        <v>1141</v>
      </c>
      <c r="B771" s="3" t="str">
        <f>HYPERLINK("https://www.senado.gob.ar/parlamentario/comisiones/verExp/99.25/OV/CV","99")</f>
        <v>99</v>
      </c>
      <c r="C771" s="3" t="str">
        <f>HYPERLINK("https://www.senado.gob.ar/parlamentario/comisiones/verExp/99.25/OV/CV","2025")</f>
        <v>2025</v>
      </c>
      <c r="D771" s="2" t="s">
        <v>1142</v>
      </c>
      <c r="E771" s="2" t="s">
        <v>1539</v>
      </c>
      <c r="F771" s="2" t="s">
        <v>602</v>
      </c>
      <c r="H771" s="2" t="s">
        <v>1514</v>
      </c>
      <c r="I771" s="2" t="s">
        <v>908</v>
      </c>
      <c r="K771" s="2" t="s">
        <v>44</v>
      </c>
      <c r="L771" s="2" t="s">
        <v>908</v>
      </c>
      <c r="O771" s="2">
        <v>106.0</v>
      </c>
      <c r="P771" s="2" t="s">
        <v>1540</v>
      </c>
      <c r="Q771" s="2" t="s">
        <v>1541</v>
      </c>
      <c r="AI771" s="2" t="str">
        <f t="shared" si="18"/>
        <v/>
      </c>
      <c r="AJ771" s="2" t="s">
        <v>49</v>
      </c>
      <c r="AK771" s="2" t="s">
        <v>50</v>
      </c>
      <c r="AM771" s="2" t="s">
        <v>1514</v>
      </c>
    </row>
    <row r="772" ht="15.75" customHeight="1">
      <c r="A772" s="2" t="s">
        <v>1347</v>
      </c>
      <c r="B772" s="3" t="str">
        <f>HYPERLINK("https://www.senado.gob.ar/parlamentario/comisiones/verExp/98.25/PE/DC","98")</f>
        <v>98</v>
      </c>
      <c r="C772" s="3" t="str">
        <f>HYPERLINK("https://www.senado.gob.ar/parlamentario/comisiones/verExp/98.25/PE/DC","2025")</f>
        <v>2025</v>
      </c>
      <c r="D772" s="2" t="s">
        <v>1348</v>
      </c>
      <c r="E772" s="2" t="s">
        <v>1542</v>
      </c>
      <c r="F772" s="2" t="s">
        <v>664</v>
      </c>
      <c r="I772" s="2" t="s">
        <v>1543</v>
      </c>
      <c r="K772" s="2" t="s">
        <v>44</v>
      </c>
      <c r="L772" s="2" t="s">
        <v>1543</v>
      </c>
      <c r="O772" s="2">
        <v>105.0</v>
      </c>
      <c r="P772" s="2" t="s">
        <v>1350</v>
      </c>
      <c r="Q772" s="2" t="s">
        <v>1544</v>
      </c>
      <c r="AI772" s="2" t="str">
        <f t="shared" si="18"/>
        <v/>
      </c>
      <c r="AJ772" s="2" t="s">
        <v>49</v>
      </c>
      <c r="AK772" s="2" t="s">
        <v>50</v>
      </c>
    </row>
    <row r="773" ht="15.75" customHeight="1">
      <c r="A773" s="2" t="s">
        <v>1347</v>
      </c>
      <c r="B773" s="3" t="str">
        <f>HYPERLINK("https://www.senado.gob.ar/parlamentario/comisiones/verExp/97.25/PE/CE","97")</f>
        <v>97</v>
      </c>
      <c r="C773" s="3" t="str">
        <f>HYPERLINK("https://www.senado.gob.ar/parlamentario/comisiones/verExp/97.25/PE/CE","2025")</f>
        <v>2025</v>
      </c>
      <c r="D773" s="2" t="s">
        <v>1353</v>
      </c>
      <c r="E773" s="2" t="s">
        <v>1545</v>
      </c>
      <c r="F773" s="2" t="s">
        <v>602</v>
      </c>
      <c r="I773" s="2" t="s">
        <v>668</v>
      </c>
      <c r="K773" s="2" t="s">
        <v>44</v>
      </c>
      <c r="L773" s="2" t="s">
        <v>1538</v>
      </c>
      <c r="O773" s="2">
        <v>54.0</v>
      </c>
      <c r="P773" s="2" t="s">
        <v>65</v>
      </c>
      <c r="Q773" s="2" t="s">
        <v>1546</v>
      </c>
      <c r="S773" s="2">
        <v>474.0</v>
      </c>
      <c r="T773" s="2" t="s">
        <v>1370</v>
      </c>
      <c r="U773" s="2" t="s">
        <v>650</v>
      </c>
      <c r="AI773" s="2" t="str">
        <f t="shared" si="18"/>
        <v/>
      </c>
      <c r="AJ773" s="2" t="s">
        <v>49</v>
      </c>
      <c r="AK773" s="2" t="s">
        <v>50</v>
      </c>
    </row>
    <row r="774" ht="15.75" customHeight="1">
      <c r="A774" s="2" t="s">
        <v>1347</v>
      </c>
      <c r="B774" s="3" t="str">
        <f>HYPERLINK("https://www.senado.gob.ar/parlamentario/comisiones/verExp/96.25/PE/DC","96")</f>
        <v>96</v>
      </c>
      <c r="C774" s="3" t="str">
        <f>HYPERLINK("https://www.senado.gob.ar/parlamentario/comisiones/verExp/96.25/PE/DC","2025")</f>
        <v>2025</v>
      </c>
      <c r="D774" s="2" t="s">
        <v>1348</v>
      </c>
      <c r="E774" s="2" t="s">
        <v>1547</v>
      </c>
      <c r="F774" s="2" t="s">
        <v>696</v>
      </c>
      <c r="I774" s="2" t="s">
        <v>1548</v>
      </c>
      <c r="K774" s="2" t="s">
        <v>44</v>
      </c>
      <c r="L774" s="2" t="s">
        <v>1548</v>
      </c>
      <c r="O774" s="2">
        <v>105.0</v>
      </c>
      <c r="P774" s="2" t="s">
        <v>1350</v>
      </c>
      <c r="Q774" s="2" t="s">
        <v>1549</v>
      </c>
      <c r="AI774" s="2" t="str">
        <f t="shared" si="18"/>
        <v/>
      </c>
      <c r="AJ774" s="2" t="s">
        <v>49</v>
      </c>
      <c r="AK774" s="2" t="s">
        <v>50</v>
      </c>
    </row>
    <row r="775" ht="15.75" customHeight="1">
      <c r="A775" s="2" t="s">
        <v>39</v>
      </c>
      <c r="B775" s="3" t="str">
        <f>HYPERLINK("https://www.senado.gob.ar/parlamentario/comisiones/verExp/94.25/S/PL","94")</f>
        <v>94</v>
      </c>
      <c r="C775" s="3" t="str">
        <f>HYPERLINK("https://www.senado.gob.ar/parlamentario/comisiones/verExp/94.25/S/PL","2025")</f>
        <v>2025</v>
      </c>
      <c r="D775" s="2" t="s">
        <v>56</v>
      </c>
      <c r="E775" s="2" t="s">
        <v>1550</v>
      </c>
      <c r="F775" s="2" t="s">
        <v>1551</v>
      </c>
      <c r="I775" s="2" t="s">
        <v>1454</v>
      </c>
      <c r="K775" s="2" t="s">
        <v>44</v>
      </c>
      <c r="L775" s="2" t="s">
        <v>1277</v>
      </c>
      <c r="N775" s="2" t="s">
        <v>1167</v>
      </c>
      <c r="O775" s="2">
        <v>55.0</v>
      </c>
      <c r="P775" s="2" t="s">
        <v>336</v>
      </c>
      <c r="Q775" s="2" t="s">
        <v>1487</v>
      </c>
      <c r="AI775" s="2" t="str">
        <f t="shared" si="18"/>
        <v/>
      </c>
      <c r="AJ775" s="2" t="s">
        <v>49</v>
      </c>
      <c r="AK775" s="2" t="s">
        <v>50</v>
      </c>
    </row>
    <row r="776" ht="15.75" customHeight="1">
      <c r="A776" s="2" t="s">
        <v>1347</v>
      </c>
      <c r="B776" s="3" t="str">
        <f>HYPERLINK("https://www.senado.gob.ar/parlamentario/comisiones/verExp/93.25/PE/DC","93")</f>
        <v>93</v>
      </c>
      <c r="C776" s="3" t="str">
        <f>HYPERLINK("https://www.senado.gob.ar/parlamentario/comisiones/verExp/93.25/PE/DC","2025")</f>
        <v>2025</v>
      </c>
      <c r="D776" s="2" t="s">
        <v>1348</v>
      </c>
      <c r="E776" s="2" t="s">
        <v>1552</v>
      </c>
      <c r="F776" s="2" t="s">
        <v>696</v>
      </c>
      <c r="I776" s="2" t="s">
        <v>1548</v>
      </c>
      <c r="K776" s="2" t="s">
        <v>44</v>
      </c>
      <c r="L776" s="2" t="s">
        <v>1548</v>
      </c>
      <c r="O776" s="2">
        <v>105.0</v>
      </c>
      <c r="P776" s="2" t="s">
        <v>1350</v>
      </c>
      <c r="Q776" s="2" t="s">
        <v>1549</v>
      </c>
      <c r="AI776" s="2" t="str">
        <f t="shared" si="18"/>
        <v/>
      </c>
      <c r="AJ776" s="2" t="s">
        <v>49</v>
      </c>
      <c r="AK776" s="2" t="s">
        <v>50</v>
      </c>
    </row>
    <row r="777" ht="15.75" customHeight="1">
      <c r="A777" s="2" t="s">
        <v>1347</v>
      </c>
      <c r="B777" s="3" t="str">
        <f>HYPERLINK("https://www.senado.gob.ar/parlamentario/comisiones/verExp/92.25/PE/DC","92")</f>
        <v>92</v>
      </c>
      <c r="C777" s="3" t="str">
        <f>HYPERLINK("https://www.senado.gob.ar/parlamentario/comisiones/verExp/92.25/PE/DC","2025")</f>
        <v>2025</v>
      </c>
      <c r="D777" s="2" t="s">
        <v>1348</v>
      </c>
      <c r="E777" s="2" t="s">
        <v>1553</v>
      </c>
      <c r="F777" s="2" t="s">
        <v>696</v>
      </c>
      <c r="I777" s="2" t="s">
        <v>1548</v>
      </c>
      <c r="K777" s="2" t="s">
        <v>44</v>
      </c>
      <c r="L777" s="2" t="s">
        <v>1548</v>
      </c>
      <c r="O777" s="2">
        <v>105.0</v>
      </c>
      <c r="P777" s="2" t="s">
        <v>1350</v>
      </c>
      <c r="Q777" s="2" t="s">
        <v>1549</v>
      </c>
      <c r="AI777" s="2" t="str">
        <f t="shared" si="18"/>
        <v/>
      </c>
      <c r="AJ777" s="2" t="s">
        <v>49</v>
      </c>
      <c r="AK777" s="2" t="s">
        <v>50</v>
      </c>
    </row>
    <row r="778" ht="15.75" customHeight="1">
      <c r="A778" s="2" t="s">
        <v>1141</v>
      </c>
      <c r="B778" s="3" t="str">
        <f>HYPERLINK("https://www.senado.gob.ar/parlamentario/comisiones/verExp/91.25/OV/CA","91")</f>
        <v>91</v>
      </c>
      <c r="C778" s="3" t="str">
        <f>HYPERLINK("https://www.senado.gob.ar/parlamentario/comisiones/verExp/91.25/OV/CA","2025")</f>
        <v>2025</v>
      </c>
      <c r="D778" s="2" t="s">
        <v>1219</v>
      </c>
      <c r="E778" s="2" t="s">
        <v>1554</v>
      </c>
      <c r="F778" s="2" t="s">
        <v>602</v>
      </c>
      <c r="I778" s="2" t="s">
        <v>936</v>
      </c>
      <c r="K778" s="2" t="s">
        <v>44</v>
      </c>
      <c r="L778" s="2" t="s">
        <v>822</v>
      </c>
      <c r="O778" s="2">
        <v>100.0</v>
      </c>
      <c r="P778" s="2" t="s">
        <v>1146</v>
      </c>
      <c r="Q778" s="2" t="s">
        <v>1555</v>
      </c>
      <c r="AI778" s="2" t="str">
        <f t="shared" si="18"/>
        <v/>
      </c>
      <c r="AJ778" s="2" t="s">
        <v>49</v>
      </c>
      <c r="AK778" s="2" t="s">
        <v>50</v>
      </c>
    </row>
    <row r="779" ht="15.75" customHeight="1">
      <c r="A779" s="2" t="s">
        <v>1347</v>
      </c>
      <c r="B779" s="3" t="str">
        <f>HYPERLINK("https://www.senado.gob.ar/parlamentario/comisiones/verExp/91.25/PE/DC","91")</f>
        <v>91</v>
      </c>
      <c r="C779" s="3" t="str">
        <f>HYPERLINK("https://www.senado.gob.ar/parlamentario/comisiones/verExp/91.25/PE/DC","2025")</f>
        <v>2025</v>
      </c>
      <c r="D779" s="2" t="s">
        <v>1348</v>
      </c>
      <c r="E779" s="2" t="s">
        <v>1556</v>
      </c>
      <c r="F779" s="2" t="s">
        <v>696</v>
      </c>
      <c r="I779" s="2" t="s">
        <v>1548</v>
      </c>
      <c r="K779" s="2" t="s">
        <v>44</v>
      </c>
      <c r="L779" s="2" t="s">
        <v>1548</v>
      </c>
      <c r="O779" s="2">
        <v>105.0</v>
      </c>
      <c r="P779" s="2" t="s">
        <v>1350</v>
      </c>
      <c r="Q779" s="2" t="s">
        <v>1549</v>
      </c>
      <c r="AI779" s="2" t="str">
        <f t="shared" si="18"/>
        <v/>
      </c>
      <c r="AJ779" s="2" t="s">
        <v>49</v>
      </c>
      <c r="AK779" s="2" t="s">
        <v>50</v>
      </c>
    </row>
    <row r="780" ht="15.75" customHeight="1">
      <c r="A780" s="2" t="s">
        <v>39</v>
      </c>
      <c r="B780" s="3" t="str">
        <f>HYPERLINK("https://www.senado.gob.ar/parlamentario/comisiones/verExp/91.25/S/PR","91")</f>
        <v>91</v>
      </c>
      <c r="C780" s="3" t="str">
        <f>HYPERLINK("https://www.senado.gob.ar/parlamentario/comisiones/verExp/91.25/S/PR","2025")</f>
        <v>2025</v>
      </c>
      <c r="D780" s="2" t="s">
        <v>145</v>
      </c>
      <c r="E780" s="2" t="s">
        <v>1557</v>
      </c>
      <c r="F780" s="2" t="s">
        <v>1551</v>
      </c>
      <c r="I780" s="2" t="s">
        <v>1454</v>
      </c>
      <c r="K780" s="2" t="s">
        <v>44</v>
      </c>
      <c r="L780" s="2" t="s">
        <v>1277</v>
      </c>
      <c r="N780" s="2" t="s">
        <v>409</v>
      </c>
      <c r="O780" s="2">
        <v>50.0</v>
      </c>
      <c r="P780" s="2" t="s">
        <v>47</v>
      </c>
      <c r="Q780" s="2" t="s">
        <v>1487</v>
      </c>
      <c r="S780" s="2">
        <v>54.0</v>
      </c>
      <c r="T780" s="2" t="s">
        <v>65</v>
      </c>
      <c r="U780" s="2" t="s">
        <v>1487</v>
      </c>
      <c r="AI780" s="2" t="str">
        <f t="shared" si="18"/>
        <v/>
      </c>
      <c r="AJ780" s="2" t="s">
        <v>49</v>
      </c>
      <c r="AK780" s="2" t="s">
        <v>50</v>
      </c>
    </row>
    <row r="781" ht="15.75" customHeight="1">
      <c r="A781" s="2" t="s">
        <v>1347</v>
      </c>
      <c r="B781" s="3" t="str">
        <f>HYPERLINK("https://www.senado.gob.ar/parlamentario/comisiones/verExp/90.25/PE/DC","90")</f>
        <v>90</v>
      </c>
      <c r="C781" s="3" t="str">
        <f>HYPERLINK("https://www.senado.gob.ar/parlamentario/comisiones/verExp/90.25/PE/DC","2025")</f>
        <v>2025</v>
      </c>
      <c r="D781" s="2" t="s">
        <v>1348</v>
      </c>
      <c r="E781" s="2" t="s">
        <v>1558</v>
      </c>
      <c r="F781" s="2" t="s">
        <v>696</v>
      </c>
      <c r="I781" s="2" t="s">
        <v>1548</v>
      </c>
      <c r="K781" s="2" t="s">
        <v>44</v>
      </c>
      <c r="L781" s="2" t="s">
        <v>1548</v>
      </c>
      <c r="O781" s="2">
        <v>105.0</v>
      </c>
      <c r="P781" s="2" t="s">
        <v>1350</v>
      </c>
      <c r="Q781" s="2" t="s">
        <v>1549</v>
      </c>
      <c r="AI781" s="2" t="str">
        <f t="shared" si="18"/>
        <v/>
      </c>
      <c r="AJ781" s="2" t="s">
        <v>49</v>
      </c>
      <c r="AK781" s="2" t="s">
        <v>50</v>
      </c>
    </row>
    <row r="782" ht="15.75" customHeight="1">
      <c r="A782" s="2" t="s">
        <v>39</v>
      </c>
      <c r="B782" s="3" t="str">
        <f>HYPERLINK("https://www.senado.gob.ar/parlamentario/comisiones/verExp/90.25/S/PR","90")</f>
        <v>90</v>
      </c>
      <c r="C782" s="3" t="str">
        <f>HYPERLINK("https://www.senado.gob.ar/parlamentario/comisiones/verExp/90.25/S/PR","2025")</f>
        <v>2025</v>
      </c>
      <c r="D782" s="2" t="s">
        <v>145</v>
      </c>
      <c r="E782" s="2" t="s">
        <v>1559</v>
      </c>
      <c r="F782" s="2" t="s">
        <v>1551</v>
      </c>
      <c r="I782" s="2" t="s">
        <v>1454</v>
      </c>
      <c r="K782" s="2" t="s">
        <v>44</v>
      </c>
      <c r="L782" s="2" t="s">
        <v>1277</v>
      </c>
      <c r="N782" s="2" t="s">
        <v>1560</v>
      </c>
      <c r="O782" s="2">
        <v>50.0</v>
      </c>
      <c r="P782" s="2" t="s">
        <v>47</v>
      </c>
      <c r="Q782" s="2" t="s">
        <v>1487</v>
      </c>
      <c r="S782" s="2">
        <v>54.0</v>
      </c>
      <c r="T782" s="2" t="s">
        <v>65</v>
      </c>
      <c r="U782" s="2" t="s">
        <v>1487</v>
      </c>
      <c r="AI782" s="2" t="str">
        <f t="shared" si="18"/>
        <v/>
      </c>
      <c r="AJ782" s="2" t="s">
        <v>49</v>
      </c>
      <c r="AK782" s="2" t="s">
        <v>50</v>
      </c>
    </row>
    <row r="783" ht="15.75" customHeight="1">
      <c r="A783" s="2" t="s">
        <v>1347</v>
      </c>
      <c r="B783" s="3" t="str">
        <f>HYPERLINK("https://www.senado.gob.ar/parlamentario/comisiones/verExp/89.25/PE/DC","89")</f>
        <v>89</v>
      </c>
      <c r="C783" s="3" t="str">
        <f>HYPERLINK("https://www.senado.gob.ar/parlamentario/comisiones/verExp/89.25/PE/DC","2025")</f>
        <v>2025</v>
      </c>
      <c r="D783" s="2" t="s">
        <v>1348</v>
      </c>
      <c r="E783" s="2" t="s">
        <v>1561</v>
      </c>
      <c r="F783" s="2" t="s">
        <v>696</v>
      </c>
      <c r="I783" s="2" t="s">
        <v>1548</v>
      </c>
      <c r="K783" s="2" t="s">
        <v>44</v>
      </c>
      <c r="L783" s="2" t="s">
        <v>1548</v>
      </c>
      <c r="O783" s="2">
        <v>105.0</v>
      </c>
      <c r="P783" s="2" t="s">
        <v>1350</v>
      </c>
      <c r="Q783" s="2" t="s">
        <v>1549</v>
      </c>
      <c r="AI783" s="2" t="str">
        <f t="shared" si="18"/>
        <v/>
      </c>
      <c r="AJ783" s="2" t="s">
        <v>49</v>
      </c>
      <c r="AK783" s="2" t="s">
        <v>50</v>
      </c>
    </row>
    <row r="784" ht="15.75" customHeight="1">
      <c r="A784" s="2" t="s">
        <v>39</v>
      </c>
      <c r="B784" s="3" t="str">
        <f>HYPERLINK("https://www.senado.gob.ar/parlamentario/comisiones/verExp/89.25/S/PL","89")</f>
        <v>89</v>
      </c>
      <c r="C784" s="3" t="str">
        <f>HYPERLINK("https://www.senado.gob.ar/parlamentario/comisiones/verExp/89.25/S/PL","2025")</f>
        <v>2025</v>
      </c>
      <c r="D784" s="2" t="s">
        <v>56</v>
      </c>
      <c r="E784" s="2" t="s">
        <v>1562</v>
      </c>
      <c r="F784" s="2" t="s">
        <v>1551</v>
      </c>
      <c r="I784" s="2" t="s">
        <v>1454</v>
      </c>
      <c r="K784" s="2" t="s">
        <v>44</v>
      </c>
      <c r="L784" s="2" t="s">
        <v>1277</v>
      </c>
      <c r="N784" s="2" t="s">
        <v>312</v>
      </c>
      <c r="O784" s="2">
        <v>59.0</v>
      </c>
      <c r="P784" s="2" t="s">
        <v>220</v>
      </c>
      <c r="Q784" s="2" t="s">
        <v>1487</v>
      </c>
      <c r="S784" s="2">
        <v>78.0</v>
      </c>
      <c r="T784" s="2" t="s">
        <v>73</v>
      </c>
      <c r="U784" s="2" t="s">
        <v>1487</v>
      </c>
      <c r="W784" s="2">
        <v>52.0</v>
      </c>
      <c r="X784" s="2" t="s">
        <v>78</v>
      </c>
      <c r="Y784" s="2" t="s">
        <v>1488</v>
      </c>
      <c r="AI784" s="2" t="str">
        <f t="shared" si="18"/>
        <v/>
      </c>
      <c r="AJ784" s="2" t="s">
        <v>49</v>
      </c>
      <c r="AK784" s="2" t="s">
        <v>50</v>
      </c>
    </row>
    <row r="785" ht="15.75" customHeight="1">
      <c r="A785" s="2" t="s">
        <v>1347</v>
      </c>
      <c r="B785" s="3" t="str">
        <f>HYPERLINK("https://www.senado.gob.ar/parlamentario/comisiones/verExp/88.25/PE/DC","88")</f>
        <v>88</v>
      </c>
      <c r="C785" s="3" t="str">
        <f>HYPERLINK("https://www.senado.gob.ar/parlamentario/comisiones/verExp/88.25/PE/DC","2025")</f>
        <v>2025</v>
      </c>
      <c r="D785" s="2" t="s">
        <v>1348</v>
      </c>
      <c r="E785" s="2" t="s">
        <v>1563</v>
      </c>
      <c r="F785" s="2" t="s">
        <v>696</v>
      </c>
      <c r="I785" s="2" t="s">
        <v>1548</v>
      </c>
      <c r="K785" s="2" t="s">
        <v>44</v>
      </c>
      <c r="L785" s="2" t="s">
        <v>1548</v>
      </c>
      <c r="O785" s="2">
        <v>105.0</v>
      </c>
      <c r="P785" s="2" t="s">
        <v>1350</v>
      </c>
      <c r="Q785" s="2" t="s">
        <v>1549</v>
      </c>
      <c r="AI785" s="2" t="str">
        <f t="shared" si="18"/>
        <v/>
      </c>
      <c r="AJ785" s="2" t="s">
        <v>49</v>
      </c>
      <c r="AK785" s="2" t="s">
        <v>50</v>
      </c>
    </row>
    <row r="786" ht="15.75" customHeight="1">
      <c r="A786" s="2" t="s">
        <v>39</v>
      </c>
      <c r="B786" s="3" t="str">
        <f>HYPERLINK("https://www.senado.gob.ar/parlamentario/comisiones/verExp/88.25/S/PL","88")</f>
        <v>88</v>
      </c>
      <c r="C786" s="3" t="str">
        <f>HYPERLINK("https://www.senado.gob.ar/parlamentario/comisiones/verExp/88.25/S/PL","2025")</f>
        <v>2025</v>
      </c>
      <c r="D786" s="2" t="s">
        <v>56</v>
      </c>
      <c r="E786" s="2" t="s">
        <v>1564</v>
      </c>
      <c r="F786" s="2" t="s">
        <v>1551</v>
      </c>
      <c r="I786" s="2" t="s">
        <v>1454</v>
      </c>
      <c r="K786" s="2" t="s">
        <v>44</v>
      </c>
      <c r="L786" s="2" t="s">
        <v>1277</v>
      </c>
      <c r="N786" s="2" t="s">
        <v>312</v>
      </c>
      <c r="O786" s="2">
        <v>62.0</v>
      </c>
      <c r="P786" s="2" t="s">
        <v>205</v>
      </c>
      <c r="Q786" s="2" t="s">
        <v>1487</v>
      </c>
      <c r="S786" s="2">
        <v>52.0</v>
      </c>
      <c r="T786" s="2" t="s">
        <v>78</v>
      </c>
      <c r="U786" s="2" t="s">
        <v>1488</v>
      </c>
      <c r="W786" s="2">
        <v>54.0</v>
      </c>
      <c r="X786" s="2" t="s">
        <v>65</v>
      </c>
      <c r="Y786" s="2" t="s">
        <v>1487</v>
      </c>
      <c r="AI786" s="2" t="str">
        <f t="shared" si="18"/>
        <v/>
      </c>
      <c r="AJ786" s="2" t="s">
        <v>49</v>
      </c>
      <c r="AK786" s="2" t="s">
        <v>50</v>
      </c>
    </row>
    <row r="787" ht="15.75" customHeight="1">
      <c r="A787" s="2" t="s">
        <v>1347</v>
      </c>
      <c r="B787" s="3" t="str">
        <f>HYPERLINK("https://www.senado.gob.ar/parlamentario/comisiones/verExp/87.25/PE/DC","87")</f>
        <v>87</v>
      </c>
      <c r="C787" s="3" t="str">
        <f>HYPERLINK("https://www.senado.gob.ar/parlamentario/comisiones/verExp/87.25/PE/DC","2025")</f>
        <v>2025</v>
      </c>
      <c r="D787" s="2" t="s">
        <v>1348</v>
      </c>
      <c r="E787" s="2" t="s">
        <v>1565</v>
      </c>
      <c r="F787" s="2" t="s">
        <v>696</v>
      </c>
      <c r="I787" s="2" t="s">
        <v>1548</v>
      </c>
      <c r="K787" s="2" t="s">
        <v>44</v>
      </c>
      <c r="L787" s="2" t="s">
        <v>1548</v>
      </c>
      <c r="O787" s="2">
        <v>105.0</v>
      </c>
      <c r="P787" s="2" t="s">
        <v>1350</v>
      </c>
      <c r="Q787" s="2" t="s">
        <v>1549</v>
      </c>
      <c r="AI787" s="2" t="str">
        <f t="shared" si="18"/>
        <v/>
      </c>
      <c r="AJ787" s="2" t="s">
        <v>49</v>
      </c>
      <c r="AK787" s="2" t="s">
        <v>50</v>
      </c>
    </row>
    <row r="788" ht="15.75" customHeight="1">
      <c r="A788" s="2" t="s">
        <v>39</v>
      </c>
      <c r="B788" s="3" t="str">
        <f>HYPERLINK("https://www.senado.gob.ar/parlamentario/comisiones/verExp/87.25/S/PL","87")</f>
        <v>87</v>
      </c>
      <c r="C788" s="3" t="str">
        <f>HYPERLINK("https://www.senado.gob.ar/parlamentario/comisiones/verExp/87.25/S/PL","2025")</f>
        <v>2025</v>
      </c>
      <c r="D788" s="2" t="s">
        <v>56</v>
      </c>
      <c r="E788" s="2" t="s">
        <v>1566</v>
      </c>
      <c r="F788" s="2" t="s">
        <v>1551</v>
      </c>
      <c r="I788" s="2" t="s">
        <v>1454</v>
      </c>
      <c r="K788" s="2" t="s">
        <v>44</v>
      </c>
      <c r="L788" s="2" t="s">
        <v>1277</v>
      </c>
      <c r="N788" s="2" t="s">
        <v>312</v>
      </c>
      <c r="O788" s="2">
        <v>53.0</v>
      </c>
      <c r="P788" s="2" t="s">
        <v>76</v>
      </c>
      <c r="Q788" s="2" t="s">
        <v>1487</v>
      </c>
      <c r="S788" s="2">
        <v>73.0</v>
      </c>
      <c r="T788" s="2" t="s">
        <v>237</v>
      </c>
      <c r="U788" s="2" t="s">
        <v>1487</v>
      </c>
      <c r="AI788" s="2" t="str">
        <f t="shared" si="18"/>
        <v/>
      </c>
      <c r="AJ788" s="2" t="s">
        <v>49</v>
      </c>
      <c r="AK788" s="2" t="s">
        <v>50</v>
      </c>
    </row>
    <row r="789" ht="15.75" customHeight="1">
      <c r="A789" s="2" t="s">
        <v>1347</v>
      </c>
      <c r="B789" s="3" t="str">
        <f>HYPERLINK("https://www.senado.gob.ar/parlamentario/comisiones/verExp/86.25/PE/DC","86")</f>
        <v>86</v>
      </c>
      <c r="C789" s="3" t="str">
        <f>HYPERLINK("https://www.senado.gob.ar/parlamentario/comisiones/verExp/86.25/PE/DC","2025")</f>
        <v>2025</v>
      </c>
      <c r="D789" s="2" t="s">
        <v>1348</v>
      </c>
      <c r="E789" s="2" t="s">
        <v>1567</v>
      </c>
      <c r="F789" s="2" t="s">
        <v>696</v>
      </c>
      <c r="I789" s="2" t="s">
        <v>698</v>
      </c>
      <c r="K789" s="2" t="s">
        <v>44</v>
      </c>
      <c r="L789" s="2" t="s">
        <v>698</v>
      </c>
      <c r="O789" s="2">
        <v>105.0</v>
      </c>
      <c r="P789" s="2" t="s">
        <v>1350</v>
      </c>
      <c r="Q789" s="2" t="s">
        <v>700</v>
      </c>
      <c r="AI789" s="2" t="str">
        <f t="shared" si="18"/>
        <v/>
      </c>
      <c r="AJ789" s="2" t="s">
        <v>49</v>
      </c>
      <c r="AK789" s="2" t="s">
        <v>50</v>
      </c>
    </row>
    <row r="790" ht="15.75" customHeight="1">
      <c r="A790" s="2" t="s">
        <v>39</v>
      </c>
      <c r="B790" s="3" t="str">
        <f>HYPERLINK("https://www.senado.gob.ar/parlamentario/comisiones/verExp/86.25/S/PL","86")</f>
        <v>86</v>
      </c>
      <c r="C790" s="3" t="str">
        <f>HYPERLINK("https://www.senado.gob.ar/parlamentario/comisiones/verExp/86.25/S/PL","2025")</f>
        <v>2025</v>
      </c>
      <c r="D790" s="2" t="s">
        <v>56</v>
      </c>
      <c r="E790" s="2" t="s">
        <v>1568</v>
      </c>
      <c r="F790" s="2" t="s">
        <v>1551</v>
      </c>
      <c r="I790" s="2" t="s">
        <v>1454</v>
      </c>
      <c r="K790" s="2" t="s">
        <v>44</v>
      </c>
      <c r="L790" s="2" t="s">
        <v>1277</v>
      </c>
      <c r="N790" s="2" t="s">
        <v>1569</v>
      </c>
      <c r="O790" s="2">
        <v>53.0</v>
      </c>
      <c r="P790" s="2" t="s">
        <v>76</v>
      </c>
      <c r="Q790" s="2" t="s">
        <v>1487</v>
      </c>
      <c r="S790" s="2">
        <v>52.0</v>
      </c>
      <c r="T790" s="2" t="s">
        <v>78</v>
      </c>
      <c r="U790" s="2" t="s">
        <v>1488</v>
      </c>
      <c r="AI790" s="2" t="str">
        <f t="shared" si="18"/>
        <v/>
      </c>
      <c r="AJ790" s="2" t="s">
        <v>49</v>
      </c>
      <c r="AK790" s="2" t="s">
        <v>50</v>
      </c>
    </row>
    <row r="791" ht="15.75" customHeight="1">
      <c r="A791" s="2" t="s">
        <v>1347</v>
      </c>
      <c r="B791" s="3" t="str">
        <f>HYPERLINK("https://www.senado.gob.ar/parlamentario/comisiones/verExp/85.25/PE/DC","85")</f>
        <v>85</v>
      </c>
      <c r="C791" s="3" t="str">
        <f>HYPERLINK("https://www.senado.gob.ar/parlamentario/comisiones/verExp/85.25/PE/DC","2025")</f>
        <v>2025</v>
      </c>
      <c r="D791" s="2" t="s">
        <v>1348</v>
      </c>
      <c r="E791" s="2" t="s">
        <v>1570</v>
      </c>
      <c r="F791" s="2" t="s">
        <v>696</v>
      </c>
      <c r="I791" s="2" t="s">
        <v>698</v>
      </c>
      <c r="K791" s="2" t="s">
        <v>44</v>
      </c>
      <c r="L791" s="2" t="s">
        <v>698</v>
      </c>
      <c r="O791" s="2">
        <v>105.0</v>
      </c>
      <c r="P791" s="2" t="s">
        <v>1350</v>
      </c>
      <c r="Q791" s="2" t="s">
        <v>700</v>
      </c>
      <c r="AI791" s="2" t="str">
        <f t="shared" si="18"/>
        <v/>
      </c>
      <c r="AJ791" s="2" t="s">
        <v>49</v>
      </c>
      <c r="AK791" s="2" t="s">
        <v>50</v>
      </c>
    </row>
    <row r="792" ht="15.75" customHeight="1">
      <c r="A792" s="2" t="s">
        <v>1347</v>
      </c>
      <c r="B792" s="3" t="str">
        <f>HYPERLINK("https://www.senado.gob.ar/parlamentario/comisiones/verExp/84.25/PE/DC","84")</f>
        <v>84</v>
      </c>
      <c r="C792" s="3" t="str">
        <f>HYPERLINK("https://www.senado.gob.ar/parlamentario/comisiones/verExp/84.25/PE/DC","2025")</f>
        <v>2025</v>
      </c>
      <c r="D792" s="2" t="s">
        <v>1348</v>
      </c>
      <c r="E792" s="2" t="s">
        <v>1571</v>
      </c>
      <c r="F792" s="2" t="s">
        <v>696</v>
      </c>
      <c r="I792" s="2" t="s">
        <v>698</v>
      </c>
      <c r="K792" s="2" t="s">
        <v>44</v>
      </c>
      <c r="L792" s="2" t="s">
        <v>698</v>
      </c>
      <c r="O792" s="2">
        <v>105.0</v>
      </c>
      <c r="P792" s="2" t="s">
        <v>1350</v>
      </c>
      <c r="Q792" s="2" t="s">
        <v>700</v>
      </c>
      <c r="AI792" s="2" t="str">
        <f t="shared" si="18"/>
        <v/>
      </c>
      <c r="AJ792" s="2" t="s">
        <v>49</v>
      </c>
      <c r="AK792" s="2" t="s">
        <v>50</v>
      </c>
    </row>
    <row r="793" ht="15.75" customHeight="1">
      <c r="A793" s="2" t="s">
        <v>1347</v>
      </c>
      <c r="B793" s="3" t="str">
        <f>HYPERLINK("https://www.senado.gob.ar/parlamentario/comisiones/verExp/83.25/PE/DC","83")</f>
        <v>83</v>
      </c>
      <c r="C793" s="3" t="str">
        <f>HYPERLINK("https://www.senado.gob.ar/parlamentario/comisiones/verExp/83.25/PE/DC","2025")</f>
        <v>2025</v>
      </c>
      <c r="D793" s="2" t="s">
        <v>1348</v>
      </c>
      <c r="E793" s="2" t="s">
        <v>1572</v>
      </c>
      <c r="F793" s="2" t="s">
        <v>696</v>
      </c>
      <c r="I793" s="2" t="s">
        <v>698</v>
      </c>
      <c r="K793" s="2" t="s">
        <v>44</v>
      </c>
      <c r="L793" s="2" t="s">
        <v>698</v>
      </c>
      <c r="O793" s="2">
        <v>105.0</v>
      </c>
      <c r="P793" s="2" t="s">
        <v>1350</v>
      </c>
      <c r="Q793" s="2" t="s">
        <v>700</v>
      </c>
      <c r="AI793" s="2" t="str">
        <f t="shared" si="18"/>
        <v/>
      </c>
      <c r="AJ793" s="2" t="s">
        <v>49</v>
      </c>
      <c r="AK793" s="2" t="s">
        <v>50</v>
      </c>
    </row>
    <row r="794" ht="15.75" customHeight="1">
      <c r="A794" s="2" t="s">
        <v>1347</v>
      </c>
      <c r="B794" s="3" t="str">
        <f>HYPERLINK("https://www.senado.gob.ar/parlamentario/comisiones/verExp/82.25/PE/DC","82")</f>
        <v>82</v>
      </c>
      <c r="C794" s="3" t="str">
        <f>HYPERLINK("https://www.senado.gob.ar/parlamentario/comisiones/verExp/82.25/PE/DC","2025")</f>
        <v>2025</v>
      </c>
      <c r="D794" s="2" t="s">
        <v>1348</v>
      </c>
      <c r="E794" s="2" t="s">
        <v>1573</v>
      </c>
      <c r="F794" s="2" t="s">
        <v>602</v>
      </c>
      <c r="I794" s="2" t="s">
        <v>698</v>
      </c>
      <c r="K794" s="2" t="s">
        <v>44</v>
      </c>
      <c r="L794" s="2" t="s">
        <v>698</v>
      </c>
      <c r="O794" s="2">
        <v>105.0</v>
      </c>
      <c r="P794" s="2" t="s">
        <v>1350</v>
      </c>
      <c r="Q794" s="2" t="s">
        <v>700</v>
      </c>
      <c r="AI794" s="2" t="str">
        <f t="shared" si="18"/>
        <v/>
      </c>
      <c r="AJ794" s="2" t="s">
        <v>49</v>
      </c>
      <c r="AK794" s="2" t="s">
        <v>50</v>
      </c>
    </row>
    <row r="795" ht="15.75" customHeight="1">
      <c r="A795" s="2" t="s">
        <v>1347</v>
      </c>
      <c r="B795" s="3" t="str">
        <f>HYPERLINK("https://www.senado.gob.ar/parlamentario/comisiones/verExp/81.25/PE/DC","81")</f>
        <v>81</v>
      </c>
      <c r="C795" s="3" t="str">
        <f>HYPERLINK("https://www.senado.gob.ar/parlamentario/comisiones/verExp/81.25/PE/DC","2025")</f>
        <v>2025</v>
      </c>
      <c r="D795" s="2" t="s">
        <v>1348</v>
      </c>
      <c r="E795" s="2" t="s">
        <v>1574</v>
      </c>
      <c r="F795" s="2" t="s">
        <v>702</v>
      </c>
      <c r="I795" s="2" t="s">
        <v>697</v>
      </c>
      <c r="K795" s="2" t="s">
        <v>44</v>
      </c>
      <c r="L795" s="2" t="s">
        <v>697</v>
      </c>
      <c r="O795" s="2">
        <v>105.0</v>
      </c>
      <c r="P795" s="2" t="s">
        <v>1350</v>
      </c>
      <c r="Q795" s="2" t="s">
        <v>1575</v>
      </c>
      <c r="AI795" s="2" t="str">
        <f t="shared" si="18"/>
        <v/>
      </c>
      <c r="AJ795" s="2" t="s">
        <v>49</v>
      </c>
      <c r="AK795" s="2" t="s">
        <v>50</v>
      </c>
    </row>
    <row r="796" ht="15.75" customHeight="1">
      <c r="A796" s="2" t="s">
        <v>1347</v>
      </c>
      <c r="B796" s="3" t="str">
        <f>HYPERLINK("https://www.senado.gob.ar/parlamentario/comisiones/verExp/80.25/PE/DC","80")</f>
        <v>80</v>
      </c>
      <c r="C796" s="3" t="str">
        <f>HYPERLINK("https://www.senado.gob.ar/parlamentario/comisiones/verExp/80.25/PE/DC","2025")</f>
        <v>2025</v>
      </c>
      <c r="D796" s="2" t="s">
        <v>1348</v>
      </c>
      <c r="E796" s="2" t="s">
        <v>1576</v>
      </c>
      <c r="F796" s="2" t="s">
        <v>702</v>
      </c>
      <c r="I796" s="2" t="s">
        <v>709</v>
      </c>
      <c r="K796" s="2" t="s">
        <v>44</v>
      </c>
      <c r="L796" s="2" t="s">
        <v>709</v>
      </c>
      <c r="O796" s="2">
        <v>105.0</v>
      </c>
      <c r="P796" s="2" t="s">
        <v>1350</v>
      </c>
      <c r="Q796" s="2" t="s">
        <v>1577</v>
      </c>
      <c r="AI796" s="2" t="str">
        <f t="shared" si="18"/>
        <v/>
      </c>
      <c r="AJ796" s="2" t="s">
        <v>49</v>
      </c>
      <c r="AK796" s="2" t="s">
        <v>50</v>
      </c>
    </row>
    <row r="797" ht="15.75" customHeight="1">
      <c r="A797" s="2" t="s">
        <v>39</v>
      </c>
      <c r="B797" s="3" t="str">
        <f>HYPERLINK("https://www.senado.gob.ar/parlamentario/comisiones/verExp/80.25/S/PR","80")</f>
        <v>80</v>
      </c>
      <c r="C797" s="3" t="str">
        <f>HYPERLINK("https://www.senado.gob.ar/parlamentario/comisiones/verExp/80.25/S/PR","2025")</f>
        <v>2025</v>
      </c>
      <c r="D797" s="2" t="s">
        <v>145</v>
      </c>
      <c r="E797" s="2" t="s">
        <v>1578</v>
      </c>
      <c r="F797" s="2" t="s">
        <v>1579</v>
      </c>
      <c r="I797" s="2" t="s">
        <v>1454</v>
      </c>
      <c r="K797" s="2" t="s">
        <v>44</v>
      </c>
      <c r="L797" s="2" t="s">
        <v>1277</v>
      </c>
      <c r="N797" s="2" t="s">
        <v>358</v>
      </c>
      <c r="O797" s="2">
        <v>70.0</v>
      </c>
      <c r="P797" s="2" t="s">
        <v>166</v>
      </c>
      <c r="Q797" s="2" t="s">
        <v>1487</v>
      </c>
      <c r="AI797" s="2" t="str">
        <f t="shared" si="18"/>
        <v/>
      </c>
      <c r="AJ797" s="2" t="s">
        <v>49</v>
      </c>
      <c r="AK797" s="2" t="s">
        <v>50</v>
      </c>
    </row>
    <row r="798" ht="15.75" customHeight="1">
      <c r="A798" s="2" t="s">
        <v>1347</v>
      </c>
      <c r="B798" s="3" t="str">
        <f>HYPERLINK("https://www.senado.gob.ar/parlamentario/comisiones/verExp/79.25/PE/DC","79")</f>
        <v>79</v>
      </c>
      <c r="C798" s="3" t="str">
        <f>HYPERLINK("https://www.senado.gob.ar/parlamentario/comisiones/verExp/79.25/PE/DC","2025")</f>
        <v>2025</v>
      </c>
      <c r="D798" s="2" t="s">
        <v>1348</v>
      </c>
      <c r="E798" s="2" t="s">
        <v>1580</v>
      </c>
      <c r="F798" s="2" t="s">
        <v>714</v>
      </c>
      <c r="I798" s="2" t="s">
        <v>717</v>
      </c>
      <c r="K798" s="2" t="s">
        <v>44</v>
      </c>
      <c r="L798" s="2" t="s">
        <v>717</v>
      </c>
      <c r="O798" s="2">
        <v>105.0</v>
      </c>
      <c r="P798" s="2" t="s">
        <v>1350</v>
      </c>
      <c r="Q798" s="2" t="s">
        <v>1581</v>
      </c>
      <c r="AI798" s="2" t="str">
        <f t="shared" si="18"/>
        <v/>
      </c>
      <c r="AJ798" s="2" t="s">
        <v>49</v>
      </c>
      <c r="AK798" s="2" t="s">
        <v>50</v>
      </c>
    </row>
    <row r="799" ht="15.75" customHeight="1">
      <c r="A799" s="2" t="s">
        <v>1347</v>
      </c>
      <c r="B799" s="3" t="str">
        <f>HYPERLINK("https://www.senado.gob.ar/parlamentario/comisiones/verExp/78.25/PE/DC","78")</f>
        <v>78</v>
      </c>
      <c r="C799" s="3" t="str">
        <f>HYPERLINK("https://www.senado.gob.ar/parlamentario/comisiones/verExp/78.25/PE/DC","2025")</f>
        <v>2025</v>
      </c>
      <c r="D799" s="2" t="s">
        <v>1348</v>
      </c>
      <c r="E799" s="2" t="s">
        <v>1582</v>
      </c>
      <c r="F799" s="2" t="s">
        <v>714</v>
      </c>
      <c r="I799" s="2" t="s">
        <v>717</v>
      </c>
      <c r="K799" s="2" t="s">
        <v>44</v>
      </c>
      <c r="L799" s="2" t="s">
        <v>717</v>
      </c>
      <c r="O799" s="2">
        <v>105.0</v>
      </c>
      <c r="P799" s="2" t="s">
        <v>1350</v>
      </c>
      <c r="Q799" s="2" t="s">
        <v>1581</v>
      </c>
      <c r="AI799" s="2" t="str">
        <f t="shared" si="18"/>
        <v/>
      </c>
      <c r="AJ799" s="2" t="s">
        <v>49</v>
      </c>
      <c r="AK799" s="2" t="s">
        <v>50</v>
      </c>
    </row>
    <row r="800" ht="15.75" customHeight="1">
      <c r="A800" s="2" t="s">
        <v>1347</v>
      </c>
      <c r="B800" s="3" t="str">
        <f>HYPERLINK("https://www.senado.gob.ar/parlamentario/comisiones/verExp/77.25/PE/DC","77")</f>
        <v>77</v>
      </c>
      <c r="C800" s="3" t="str">
        <f>HYPERLINK("https://www.senado.gob.ar/parlamentario/comisiones/verExp/77.25/PE/DC","2025")</f>
        <v>2025</v>
      </c>
      <c r="D800" s="2" t="s">
        <v>1348</v>
      </c>
      <c r="E800" s="2" t="s">
        <v>1583</v>
      </c>
      <c r="F800" s="2" t="s">
        <v>720</v>
      </c>
      <c r="I800" s="2" t="s">
        <v>721</v>
      </c>
      <c r="K800" s="2" t="s">
        <v>44</v>
      </c>
      <c r="L800" s="2" t="s">
        <v>721</v>
      </c>
      <c r="O800" s="2">
        <v>105.0</v>
      </c>
      <c r="P800" s="2" t="s">
        <v>1350</v>
      </c>
      <c r="Q800" s="2" t="s">
        <v>725</v>
      </c>
      <c r="AI800" s="2" t="str">
        <f t="shared" si="18"/>
        <v/>
      </c>
      <c r="AJ800" s="2" t="s">
        <v>49</v>
      </c>
      <c r="AK800" s="2" t="s">
        <v>50</v>
      </c>
    </row>
    <row r="801" ht="15.75" customHeight="1">
      <c r="A801" s="2" t="s">
        <v>39</v>
      </c>
      <c r="B801" s="3" t="str">
        <f>HYPERLINK("https://www.senado.gob.ar/parlamentario/comisiones/verExp/77.25/S/PR","77")</f>
        <v>77</v>
      </c>
      <c r="C801" s="3" t="str">
        <f>HYPERLINK("https://www.senado.gob.ar/parlamentario/comisiones/verExp/77.25/S/PR","2025")</f>
        <v>2025</v>
      </c>
      <c r="D801" s="2" t="s">
        <v>145</v>
      </c>
      <c r="E801" s="2" t="s">
        <v>1584</v>
      </c>
      <c r="F801" s="2" t="s">
        <v>1579</v>
      </c>
      <c r="I801" s="2" t="s">
        <v>1454</v>
      </c>
      <c r="K801" s="2" t="s">
        <v>44</v>
      </c>
      <c r="L801" s="2" t="s">
        <v>1277</v>
      </c>
      <c r="N801" s="2" t="s">
        <v>358</v>
      </c>
      <c r="O801" s="2">
        <v>78.0</v>
      </c>
      <c r="P801" s="2" t="s">
        <v>73</v>
      </c>
      <c r="Q801" s="2" t="s">
        <v>1487</v>
      </c>
      <c r="AI801" s="2" t="str">
        <f t="shared" si="18"/>
        <v/>
      </c>
      <c r="AJ801" s="2" t="s">
        <v>49</v>
      </c>
      <c r="AK801" s="2" t="s">
        <v>50</v>
      </c>
    </row>
    <row r="802" ht="15.75" customHeight="1">
      <c r="A802" s="2" t="s">
        <v>1347</v>
      </c>
      <c r="B802" s="3" t="str">
        <f>HYPERLINK("https://www.senado.gob.ar/parlamentario/comisiones/verExp/76.25/PE/DC","76")</f>
        <v>76</v>
      </c>
      <c r="C802" s="3" t="str">
        <f>HYPERLINK("https://www.senado.gob.ar/parlamentario/comisiones/verExp/76.25/PE/DC","2025")</f>
        <v>2025</v>
      </c>
      <c r="D802" s="2" t="s">
        <v>1348</v>
      </c>
      <c r="E802" s="2" t="s">
        <v>1585</v>
      </c>
      <c r="F802" s="2" t="s">
        <v>720</v>
      </c>
      <c r="I802" s="2" t="s">
        <v>721</v>
      </c>
      <c r="K802" s="2" t="s">
        <v>44</v>
      </c>
      <c r="L802" s="2" t="s">
        <v>721</v>
      </c>
      <c r="O802" s="2">
        <v>105.0</v>
      </c>
      <c r="P802" s="2" t="s">
        <v>1350</v>
      </c>
      <c r="Q802" s="2" t="s">
        <v>725</v>
      </c>
      <c r="AI802" s="2" t="str">
        <f t="shared" si="18"/>
        <v/>
      </c>
      <c r="AJ802" s="2" t="s">
        <v>49</v>
      </c>
      <c r="AK802" s="2" t="s">
        <v>50</v>
      </c>
    </row>
    <row r="803" ht="15.75" customHeight="1">
      <c r="A803" s="2" t="s">
        <v>39</v>
      </c>
      <c r="B803" s="3" t="str">
        <f>HYPERLINK("https://www.senado.gob.ar/parlamentario/comisiones/verExp/76.25/S/PL","76")</f>
        <v>76</v>
      </c>
      <c r="C803" s="3" t="str">
        <f>HYPERLINK("https://www.senado.gob.ar/parlamentario/comisiones/verExp/76.25/S/PL","2025")</f>
        <v>2025</v>
      </c>
      <c r="D803" s="2" t="s">
        <v>56</v>
      </c>
      <c r="E803" s="2" t="s">
        <v>1586</v>
      </c>
      <c r="F803" s="2" t="s">
        <v>1579</v>
      </c>
      <c r="I803" s="2" t="s">
        <v>1454</v>
      </c>
      <c r="K803" s="2" t="s">
        <v>44</v>
      </c>
      <c r="L803" s="2" t="s">
        <v>1277</v>
      </c>
      <c r="N803" s="2" t="s">
        <v>358</v>
      </c>
      <c r="O803" s="2">
        <v>64.0</v>
      </c>
      <c r="P803" s="2" t="s">
        <v>186</v>
      </c>
      <c r="Q803" s="2" t="s">
        <v>1487</v>
      </c>
      <c r="S803" s="2">
        <v>59.0</v>
      </c>
      <c r="T803" s="2" t="s">
        <v>220</v>
      </c>
      <c r="U803" s="2" t="s">
        <v>1487</v>
      </c>
      <c r="AI803" s="2" t="str">
        <f t="shared" si="18"/>
        <v/>
      </c>
      <c r="AJ803" s="2" t="s">
        <v>49</v>
      </c>
      <c r="AK803" s="2" t="s">
        <v>50</v>
      </c>
    </row>
    <row r="804" ht="15.75" customHeight="1">
      <c r="A804" s="2" t="s">
        <v>1347</v>
      </c>
      <c r="B804" s="3" t="str">
        <f>HYPERLINK("https://www.senado.gob.ar/parlamentario/comisiones/verExp/75.25/PE/DC","75")</f>
        <v>75</v>
      </c>
      <c r="C804" s="3" t="str">
        <f>HYPERLINK("https://www.senado.gob.ar/parlamentario/comisiones/verExp/75.25/PE/DC","2025")</f>
        <v>2025</v>
      </c>
      <c r="D804" s="2" t="s">
        <v>1348</v>
      </c>
      <c r="E804" s="2" t="s">
        <v>1587</v>
      </c>
      <c r="F804" s="2" t="s">
        <v>720</v>
      </c>
      <c r="I804" s="2" t="s">
        <v>721</v>
      </c>
      <c r="K804" s="2" t="s">
        <v>44</v>
      </c>
      <c r="L804" s="2" t="s">
        <v>721</v>
      </c>
      <c r="O804" s="2">
        <v>105.0</v>
      </c>
      <c r="P804" s="2" t="s">
        <v>1350</v>
      </c>
      <c r="Q804" s="2" t="s">
        <v>725</v>
      </c>
      <c r="AI804" s="2" t="str">
        <f t="shared" si="18"/>
        <v/>
      </c>
      <c r="AJ804" s="2" t="s">
        <v>49</v>
      </c>
      <c r="AK804" s="2" t="s">
        <v>50</v>
      </c>
    </row>
    <row r="805" ht="15.75" customHeight="1">
      <c r="A805" s="2" t="s">
        <v>1347</v>
      </c>
      <c r="B805" s="3" t="str">
        <f>HYPERLINK("https://www.senado.gob.ar/parlamentario/comisiones/verExp/74.25/PE/DC","74")</f>
        <v>74</v>
      </c>
      <c r="C805" s="3" t="str">
        <f>HYPERLINK("https://www.senado.gob.ar/parlamentario/comisiones/verExp/74.25/PE/DC","2025")</f>
        <v>2025</v>
      </c>
      <c r="D805" s="2" t="s">
        <v>1348</v>
      </c>
      <c r="E805" s="2" t="s">
        <v>1588</v>
      </c>
      <c r="F805" s="2" t="s">
        <v>720</v>
      </c>
      <c r="I805" s="2" t="s">
        <v>721</v>
      </c>
      <c r="K805" s="2" t="s">
        <v>44</v>
      </c>
      <c r="L805" s="2" t="s">
        <v>721</v>
      </c>
      <c r="O805" s="2">
        <v>105.0</v>
      </c>
      <c r="P805" s="2" t="s">
        <v>1350</v>
      </c>
      <c r="Q805" s="2" t="s">
        <v>725</v>
      </c>
      <c r="AI805" s="2" t="str">
        <f t="shared" si="18"/>
        <v/>
      </c>
      <c r="AJ805" s="2" t="s">
        <v>49</v>
      </c>
      <c r="AK805" s="2" t="s">
        <v>50</v>
      </c>
    </row>
    <row r="806" ht="15.75" customHeight="1">
      <c r="A806" s="2" t="s">
        <v>39</v>
      </c>
      <c r="B806" s="3" t="str">
        <f>HYPERLINK("https://www.senado.gob.ar/parlamentario/comisiones/verExp/74.25/S/PL","74")</f>
        <v>74</v>
      </c>
      <c r="C806" s="3" t="str">
        <f>HYPERLINK("https://www.senado.gob.ar/parlamentario/comisiones/verExp/74.25/S/PL","2025")</f>
        <v>2025</v>
      </c>
      <c r="D806" s="2" t="s">
        <v>56</v>
      </c>
      <c r="E806" s="2" t="s">
        <v>1589</v>
      </c>
      <c r="F806" s="2" t="s">
        <v>1579</v>
      </c>
      <c r="I806" s="2" t="s">
        <v>1590</v>
      </c>
      <c r="K806" s="2" t="s">
        <v>44</v>
      </c>
      <c r="L806" s="2" t="s">
        <v>1277</v>
      </c>
      <c r="N806" s="2" t="s">
        <v>168</v>
      </c>
      <c r="O806" s="2">
        <v>52.0</v>
      </c>
      <c r="P806" s="2" t="s">
        <v>78</v>
      </c>
      <c r="Q806" s="2" t="s">
        <v>1488</v>
      </c>
      <c r="S806" s="2">
        <v>50.0</v>
      </c>
      <c r="T806" s="2" t="s">
        <v>47</v>
      </c>
      <c r="U806" s="2" t="s">
        <v>1487</v>
      </c>
      <c r="AI806" s="2" t="str">
        <f t="shared" si="18"/>
        <v/>
      </c>
      <c r="AJ806" s="2" t="s">
        <v>49</v>
      </c>
      <c r="AK806" s="2" t="s">
        <v>50</v>
      </c>
    </row>
    <row r="807" ht="15.75" customHeight="1">
      <c r="A807" s="2" t="s">
        <v>1347</v>
      </c>
      <c r="B807" s="3" t="str">
        <f>HYPERLINK("https://www.senado.gob.ar/parlamentario/comisiones/verExp/73.25/PE/DC","73")</f>
        <v>73</v>
      </c>
      <c r="C807" s="3" t="str">
        <f>HYPERLINK("https://www.senado.gob.ar/parlamentario/comisiones/verExp/73.25/PE/DC","2025")</f>
        <v>2025</v>
      </c>
      <c r="D807" s="2" t="s">
        <v>1348</v>
      </c>
      <c r="E807" s="2" t="s">
        <v>1591</v>
      </c>
      <c r="F807" s="2" t="s">
        <v>1592</v>
      </c>
      <c r="I807" s="2" t="s">
        <v>724</v>
      </c>
      <c r="K807" s="2" t="s">
        <v>44</v>
      </c>
      <c r="L807" s="2" t="s">
        <v>724</v>
      </c>
      <c r="O807" s="2">
        <v>105.0</v>
      </c>
      <c r="P807" s="2" t="s">
        <v>1350</v>
      </c>
      <c r="Q807" s="2" t="s">
        <v>1447</v>
      </c>
      <c r="AI807" s="2" t="str">
        <f t="shared" si="18"/>
        <v/>
      </c>
      <c r="AJ807" s="2" t="s">
        <v>49</v>
      </c>
      <c r="AK807" s="2" t="s">
        <v>50</v>
      </c>
    </row>
    <row r="808" ht="15.75" customHeight="1">
      <c r="A808" s="2" t="s">
        <v>39</v>
      </c>
      <c r="B808" s="3" t="str">
        <f>HYPERLINK("https://www.senado.gob.ar/parlamentario/comisiones/verExp/73.25/S/PL","73")</f>
        <v>73</v>
      </c>
      <c r="C808" s="3" t="str">
        <f>HYPERLINK("https://www.senado.gob.ar/parlamentario/comisiones/verExp/73.25/S/PL","2025")</f>
        <v>2025</v>
      </c>
      <c r="D808" s="2" t="s">
        <v>56</v>
      </c>
      <c r="E808" s="2" t="s">
        <v>1593</v>
      </c>
      <c r="F808" s="2" t="s">
        <v>1579</v>
      </c>
      <c r="I808" s="2" t="s">
        <v>1590</v>
      </c>
      <c r="K808" s="2" t="s">
        <v>44</v>
      </c>
      <c r="L808" s="2" t="s">
        <v>1280</v>
      </c>
      <c r="N808" s="2" t="s">
        <v>168</v>
      </c>
      <c r="O808" s="2">
        <v>75.0</v>
      </c>
      <c r="P808" s="2" t="s">
        <v>71</v>
      </c>
      <c r="Q808" s="2" t="s">
        <v>1594</v>
      </c>
      <c r="S808" s="2">
        <v>78.0</v>
      </c>
      <c r="T808" s="2" t="s">
        <v>73</v>
      </c>
      <c r="U808" s="2" t="s">
        <v>1594</v>
      </c>
      <c r="AI808" s="2" t="str">
        <f t="shared" si="18"/>
        <v/>
      </c>
      <c r="AJ808" s="2" t="s">
        <v>49</v>
      </c>
      <c r="AK808" s="2" t="s">
        <v>50</v>
      </c>
    </row>
    <row r="809" ht="15.75" customHeight="1">
      <c r="A809" s="2" t="s">
        <v>1347</v>
      </c>
      <c r="B809" s="3" t="str">
        <f>HYPERLINK("https://www.senado.gob.ar/parlamentario/comisiones/verExp/72.25/PE/DC","72")</f>
        <v>72</v>
      </c>
      <c r="C809" s="3" t="str">
        <f>HYPERLINK("https://www.senado.gob.ar/parlamentario/comisiones/verExp/72.25/PE/DC","2025")</f>
        <v>2025</v>
      </c>
      <c r="D809" s="2" t="s">
        <v>1348</v>
      </c>
      <c r="E809" s="2" t="s">
        <v>1595</v>
      </c>
      <c r="F809" s="2" t="s">
        <v>1592</v>
      </c>
      <c r="I809" s="2" t="s">
        <v>724</v>
      </c>
      <c r="K809" s="2" t="s">
        <v>44</v>
      </c>
      <c r="L809" s="2" t="s">
        <v>724</v>
      </c>
      <c r="O809" s="2">
        <v>105.0</v>
      </c>
      <c r="P809" s="2" t="s">
        <v>1350</v>
      </c>
      <c r="Q809" s="2" t="s">
        <v>1447</v>
      </c>
      <c r="AI809" s="2" t="str">
        <f t="shared" si="18"/>
        <v/>
      </c>
      <c r="AJ809" s="2" t="s">
        <v>49</v>
      </c>
      <c r="AK809" s="2" t="s">
        <v>50</v>
      </c>
    </row>
    <row r="810" ht="15.75" customHeight="1">
      <c r="A810" s="2" t="s">
        <v>1347</v>
      </c>
      <c r="B810" s="3" t="str">
        <f>HYPERLINK("https://www.senado.gob.ar/parlamentario/comisiones/verExp/71.25/PE/DC","71")</f>
        <v>71</v>
      </c>
      <c r="C810" s="3" t="str">
        <f>HYPERLINK("https://www.senado.gob.ar/parlamentario/comisiones/verExp/71.25/PE/DC","2025")</f>
        <v>2025</v>
      </c>
      <c r="D810" s="2" t="s">
        <v>1348</v>
      </c>
      <c r="E810" s="2" t="s">
        <v>1596</v>
      </c>
      <c r="F810" s="2" t="s">
        <v>1592</v>
      </c>
      <c r="I810" s="2" t="s">
        <v>724</v>
      </c>
      <c r="K810" s="2" t="s">
        <v>44</v>
      </c>
      <c r="L810" s="2" t="s">
        <v>724</v>
      </c>
      <c r="O810" s="2">
        <v>105.0</v>
      </c>
      <c r="P810" s="2" t="s">
        <v>1350</v>
      </c>
      <c r="Q810" s="2" t="s">
        <v>1447</v>
      </c>
      <c r="AI810" s="2" t="str">
        <f t="shared" si="18"/>
        <v/>
      </c>
      <c r="AJ810" s="2" t="s">
        <v>49</v>
      </c>
      <c r="AK810" s="2" t="s">
        <v>50</v>
      </c>
    </row>
    <row r="811" ht="15.75" customHeight="1">
      <c r="A811" s="2" t="s">
        <v>39</v>
      </c>
      <c r="B811" s="3" t="str">
        <f>HYPERLINK("https://www.senado.gob.ar/parlamentario/comisiones/verExp/71.25/S/PL","71")</f>
        <v>71</v>
      </c>
      <c r="C811" s="3" t="str">
        <f>HYPERLINK("https://www.senado.gob.ar/parlamentario/comisiones/verExp/71.25/S/PL","2025")</f>
        <v>2025</v>
      </c>
      <c r="D811" s="2" t="s">
        <v>56</v>
      </c>
      <c r="E811" s="2" t="s">
        <v>1597</v>
      </c>
      <c r="F811" s="2" t="s">
        <v>1579</v>
      </c>
      <c r="I811" s="2" t="s">
        <v>1590</v>
      </c>
      <c r="K811" s="2" t="s">
        <v>44</v>
      </c>
      <c r="L811" s="2" t="s">
        <v>1280</v>
      </c>
      <c r="N811" s="2" t="s">
        <v>168</v>
      </c>
      <c r="O811" s="2">
        <v>53.0</v>
      </c>
      <c r="P811" s="2" t="s">
        <v>76</v>
      </c>
      <c r="Q811" s="2" t="s">
        <v>1594</v>
      </c>
      <c r="S811" s="2">
        <v>74.0</v>
      </c>
      <c r="T811" s="2" t="s">
        <v>256</v>
      </c>
      <c r="U811" s="2" t="s">
        <v>1594</v>
      </c>
      <c r="AI811" s="2" t="str">
        <f t="shared" si="18"/>
        <v/>
      </c>
      <c r="AJ811" s="2" t="s">
        <v>49</v>
      </c>
      <c r="AK811" s="2" t="s">
        <v>50</v>
      </c>
    </row>
    <row r="812" ht="15.75" customHeight="1">
      <c r="A812" s="2" t="s">
        <v>1347</v>
      </c>
      <c r="B812" s="3" t="str">
        <f>HYPERLINK("https://www.senado.gob.ar/parlamentario/comisiones/verExp/70.25/PE/DC","70")</f>
        <v>70</v>
      </c>
      <c r="C812" s="3" t="str">
        <f>HYPERLINK("https://www.senado.gob.ar/parlamentario/comisiones/verExp/70.25/PE/DC","2025")</f>
        <v>2025</v>
      </c>
      <c r="D812" s="2" t="s">
        <v>1348</v>
      </c>
      <c r="E812" s="2" t="s">
        <v>1598</v>
      </c>
      <c r="F812" s="2" t="s">
        <v>1592</v>
      </c>
      <c r="I812" s="2" t="s">
        <v>724</v>
      </c>
      <c r="K812" s="2" t="s">
        <v>44</v>
      </c>
      <c r="L812" s="2" t="s">
        <v>724</v>
      </c>
      <c r="O812" s="2">
        <v>105.0</v>
      </c>
      <c r="P812" s="2" t="s">
        <v>1350</v>
      </c>
      <c r="Q812" s="2" t="s">
        <v>1447</v>
      </c>
      <c r="AI812" s="2" t="str">
        <f t="shared" si="18"/>
        <v/>
      </c>
      <c r="AJ812" s="2" t="s">
        <v>49</v>
      </c>
      <c r="AK812" s="2" t="s">
        <v>50</v>
      </c>
    </row>
    <row r="813" ht="15.75" customHeight="1">
      <c r="A813" s="2" t="s">
        <v>39</v>
      </c>
      <c r="B813" s="3" t="str">
        <f>HYPERLINK("https://www.senado.gob.ar/parlamentario/comisiones/verExp/70.25/S/PL","70")</f>
        <v>70</v>
      </c>
      <c r="C813" s="3" t="str">
        <f>HYPERLINK("https://www.senado.gob.ar/parlamentario/comisiones/verExp/70.25/S/PL","2025")</f>
        <v>2025</v>
      </c>
      <c r="D813" s="2" t="s">
        <v>56</v>
      </c>
      <c r="E813" s="2" t="s">
        <v>1599</v>
      </c>
      <c r="F813" s="2" t="s">
        <v>1579</v>
      </c>
      <c r="I813" s="2" t="s">
        <v>1590</v>
      </c>
      <c r="K813" s="2" t="s">
        <v>44</v>
      </c>
      <c r="L813" s="2" t="s">
        <v>1280</v>
      </c>
      <c r="N813" s="2" t="s">
        <v>168</v>
      </c>
      <c r="O813" s="2">
        <v>52.0</v>
      </c>
      <c r="P813" s="2" t="s">
        <v>78</v>
      </c>
      <c r="Q813" s="2" t="s">
        <v>1594</v>
      </c>
      <c r="AI813" s="2" t="str">
        <f t="shared" si="18"/>
        <v/>
      </c>
      <c r="AJ813" s="2" t="s">
        <v>49</v>
      </c>
      <c r="AK813" s="2" t="s">
        <v>50</v>
      </c>
    </row>
    <row r="814" ht="15.75" customHeight="1">
      <c r="A814" s="2" t="s">
        <v>1347</v>
      </c>
      <c r="B814" s="3" t="str">
        <f>HYPERLINK("https://www.senado.gob.ar/parlamentario/comisiones/verExp/69.25/PE/DC","69")</f>
        <v>69</v>
      </c>
      <c r="C814" s="3" t="str">
        <f>HYPERLINK("https://www.senado.gob.ar/parlamentario/comisiones/verExp/69.25/PE/DC","2025")</f>
        <v>2025</v>
      </c>
      <c r="D814" s="2" t="s">
        <v>1348</v>
      </c>
      <c r="E814" s="2" t="s">
        <v>1600</v>
      </c>
      <c r="F814" s="2" t="s">
        <v>729</v>
      </c>
      <c r="I814" s="2" t="s">
        <v>724</v>
      </c>
      <c r="K814" s="2" t="s">
        <v>44</v>
      </c>
      <c r="L814" s="2" t="s">
        <v>724</v>
      </c>
      <c r="O814" s="2">
        <v>105.0</v>
      </c>
      <c r="P814" s="2" t="s">
        <v>1350</v>
      </c>
      <c r="Q814" s="2" t="s">
        <v>1447</v>
      </c>
      <c r="AI814" s="2" t="str">
        <f t="shared" si="18"/>
        <v/>
      </c>
      <c r="AJ814" s="2" t="s">
        <v>49</v>
      </c>
      <c r="AK814" s="2" t="s">
        <v>50</v>
      </c>
    </row>
    <row r="815" ht="15.75" customHeight="1">
      <c r="A815" s="2" t="s">
        <v>39</v>
      </c>
      <c r="B815" s="3" t="str">
        <f>HYPERLINK("https://www.senado.gob.ar/parlamentario/comisiones/verExp/69.25/S/PL","69")</f>
        <v>69</v>
      </c>
      <c r="C815" s="3" t="str">
        <f>HYPERLINK("https://www.senado.gob.ar/parlamentario/comisiones/verExp/69.25/S/PL","2025")</f>
        <v>2025</v>
      </c>
      <c r="D815" s="2" t="s">
        <v>56</v>
      </c>
      <c r="E815" s="2" t="s">
        <v>1601</v>
      </c>
      <c r="F815" s="2" t="s">
        <v>1579</v>
      </c>
      <c r="I815" s="2" t="s">
        <v>1590</v>
      </c>
      <c r="K815" s="2" t="s">
        <v>44</v>
      </c>
      <c r="L815" s="2" t="s">
        <v>1280</v>
      </c>
      <c r="N815" s="2" t="s">
        <v>168</v>
      </c>
      <c r="O815" s="2">
        <v>50.0</v>
      </c>
      <c r="P815" s="2" t="s">
        <v>47</v>
      </c>
      <c r="Q815" s="2" t="s">
        <v>1594</v>
      </c>
      <c r="S815" s="2">
        <v>52.0</v>
      </c>
      <c r="T815" s="2" t="s">
        <v>78</v>
      </c>
      <c r="U815" s="2" t="s">
        <v>1594</v>
      </c>
      <c r="AI815" s="2" t="str">
        <f t="shared" si="18"/>
        <v/>
      </c>
      <c r="AJ815" s="2" t="s">
        <v>49</v>
      </c>
      <c r="AK815" s="2" t="s">
        <v>50</v>
      </c>
    </row>
    <row r="816" ht="15.75" customHeight="1">
      <c r="A816" s="2" t="s">
        <v>1141</v>
      </c>
      <c r="B816" s="3" t="str">
        <f>HYPERLINK("https://www.senado.gob.ar/parlamentario/comisiones/verExp/68.25/OV/CM","68")</f>
        <v>68</v>
      </c>
      <c r="C816" s="3" t="str">
        <f>HYPERLINK("https://www.senado.gob.ar/parlamentario/comisiones/verExp/68.25/OV/CM","2025")</f>
        <v>2025</v>
      </c>
      <c r="D816" s="2" t="s">
        <v>1602</v>
      </c>
      <c r="E816" s="2" t="s">
        <v>1603</v>
      </c>
      <c r="F816" s="2" t="s">
        <v>1604</v>
      </c>
      <c r="I816" s="2" t="s">
        <v>1099</v>
      </c>
      <c r="K816" s="2" t="s">
        <v>44</v>
      </c>
      <c r="L816" s="2" t="s">
        <v>1089</v>
      </c>
      <c r="O816" s="2">
        <v>100.0</v>
      </c>
      <c r="P816" s="2" t="s">
        <v>1146</v>
      </c>
      <c r="Q816" s="2" t="s">
        <v>1605</v>
      </c>
      <c r="AI816" s="2" t="str">
        <f t="shared" si="18"/>
        <v/>
      </c>
      <c r="AJ816" s="2" t="s">
        <v>49</v>
      </c>
      <c r="AK816" s="2" t="s">
        <v>50</v>
      </c>
    </row>
    <row r="817" ht="15.75" customHeight="1">
      <c r="A817" s="2" t="s">
        <v>1347</v>
      </c>
      <c r="B817" s="3" t="str">
        <f>HYPERLINK("https://www.senado.gob.ar/parlamentario/comisiones/verExp/68.25/PE/DC","68")</f>
        <v>68</v>
      </c>
      <c r="C817" s="3" t="str">
        <f>HYPERLINK("https://www.senado.gob.ar/parlamentario/comisiones/verExp/68.25/PE/DC","2025")</f>
        <v>2025</v>
      </c>
      <c r="D817" s="2" t="s">
        <v>1348</v>
      </c>
      <c r="E817" s="2" t="s">
        <v>1606</v>
      </c>
      <c r="F817" s="2" t="s">
        <v>729</v>
      </c>
      <c r="I817" s="2" t="s">
        <v>730</v>
      </c>
      <c r="K817" s="2" t="s">
        <v>44</v>
      </c>
      <c r="L817" s="2" t="s">
        <v>1607</v>
      </c>
      <c r="O817" s="2">
        <v>105.0</v>
      </c>
      <c r="P817" s="2" t="s">
        <v>1350</v>
      </c>
      <c r="Q817" s="2" t="s">
        <v>731</v>
      </c>
      <c r="AI817" s="2" t="str">
        <f t="shared" si="18"/>
        <v/>
      </c>
      <c r="AJ817" s="2" t="s">
        <v>49</v>
      </c>
      <c r="AK817" s="2" t="s">
        <v>50</v>
      </c>
    </row>
    <row r="818" ht="15.75" customHeight="1">
      <c r="A818" s="2" t="s">
        <v>39</v>
      </c>
      <c r="B818" s="3" t="str">
        <f>HYPERLINK("https://www.senado.gob.ar/parlamentario/comisiones/verExp/68.25/S/PL","68")</f>
        <v>68</v>
      </c>
      <c r="C818" s="3" t="str">
        <f>HYPERLINK("https://www.senado.gob.ar/parlamentario/comisiones/verExp/68.25/S/PL","2025")</f>
        <v>2025</v>
      </c>
      <c r="D818" s="2" t="s">
        <v>56</v>
      </c>
      <c r="E818" s="2" t="s">
        <v>1608</v>
      </c>
      <c r="F818" s="2" t="s">
        <v>1579</v>
      </c>
      <c r="I818" s="2" t="s">
        <v>1590</v>
      </c>
      <c r="K818" s="2" t="s">
        <v>44</v>
      </c>
      <c r="L818" s="2" t="s">
        <v>1280</v>
      </c>
      <c r="N818" s="2" t="s">
        <v>168</v>
      </c>
      <c r="O818" s="2">
        <v>54.0</v>
      </c>
      <c r="P818" s="2" t="s">
        <v>65</v>
      </c>
      <c r="Q818" s="2" t="s">
        <v>1594</v>
      </c>
      <c r="AI818" s="2" t="str">
        <f t="shared" si="18"/>
        <v/>
      </c>
      <c r="AJ818" s="2" t="s">
        <v>49</v>
      </c>
      <c r="AK818" s="2" t="s">
        <v>50</v>
      </c>
    </row>
    <row r="819" ht="15.75" customHeight="1">
      <c r="A819" s="2" t="s">
        <v>1347</v>
      </c>
      <c r="B819" s="3" t="str">
        <f>HYPERLINK("https://www.senado.gob.ar/parlamentario/comisiones/verExp/67.25/PE/DC","67")</f>
        <v>67</v>
      </c>
      <c r="C819" s="3" t="str">
        <f>HYPERLINK("https://www.senado.gob.ar/parlamentario/comisiones/verExp/67.25/PE/DC","2025")</f>
        <v>2025</v>
      </c>
      <c r="D819" s="2" t="s">
        <v>1348</v>
      </c>
      <c r="E819" s="2" t="s">
        <v>1609</v>
      </c>
      <c r="F819" s="2" t="s">
        <v>759</v>
      </c>
      <c r="I819" s="2" t="s">
        <v>744</v>
      </c>
      <c r="K819" s="2" t="s">
        <v>44</v>
      </c>
      <c r="L819" s="2" t="s">
        <v>744</v>
      </c>
      <c r="O819" s="2">
        <v>315.0</v>
      </c>
      <c r="P819" s="2" t="s">
        <v>271</v>
      </c>
      <c r="Q819" s="2" t="s">
        <v>912</v>
      </c>
      <c r="AI819" s="2" t="str">
        <f t="shared" si="18"/>
        <v/>
      </c>
      <c r="AJ819" s="2" t="s">
        <v>49</v>
      </c>
      <c r="AK819" s="2" t="s">
        <v>50</v>
      </c>
    </row>
    <row r="820" ht="15.75" customHeight="1">
      <c r="A820" s="2" t="s">
        <v>39</v>
      </c>
      <c r="B820" s="3" t="str">
        <f>HYPERLINK("https://www.senado.gob.ar/parlamentario/comisiones/verExp/67.25/S/PL","67")</f>
        <v>67</v>
      </c>
      <c r="C820" s="3" t="str">
        <f>HYPERLINK("https://www.senado.gob.ar/parlamentario/comisiones/verExp/67.25/S/PL","2025")</f>
        <v>2025</v>
      </c>
      <c r="D820" s="2" t="s">
        <v>56</v>
      </c>
      <c r="E820" s="2" t="s">
        <v>1610</v>
      </c>
      <c r="F820" s="2" t="s">
        <v>1579</v>
      </c>
      <c r="I820" s="2" t="s">
        <v>1590</v>
      </c>
      <c r="K820" s="2" t="s">
        <v>44</v>
      </c>
      <c r="L820" s="2" t="s">
        <v>1280</v>
      </c>
      <c r="N820" s="2" t="s">
        <v>168</v>
      </c>
      <c r="O820" s="2">
        <v>78.0</v>
      </c>
      <c r="P820" s="2" t="s">
        <v>73</v>
      </c>
      <c r="Q820" s="2" t="s">
        <v>1594</v>
      </c>
      <c r="S820" s="2">
        <v>70.0</v>
      </c>
      <c r="T820" s="2" t="s">
        <v>166</v>
      </c>
      <c r="U820" s="2" t="s">
        <v>1594</v>
      </c>
      <c r="AI820" s="2" t="str">
        <f t="shared" si="18"/>
        <v/>
      </c>
      <c r="AJ820" s="2" t="s">
        <v>49</v>
      </c>
      <c r="AK820" s="2" t="s">
        <v>50</v>
      </c>
    </row>
    <row r="821" ht="15.75" customHeight="1">
      <c r="A821" s="2" t="s">
        <v>1347</v>
      </c>
      <c r="B821" s="3" t="str">
        <f>HYPERLINK("https://www.senado.gob.ar/parlamentario/comisiones/verExp/66.25/PE/DC","66")</f>
        <v>66</v>
      </c>
      <c r="C821" s="3" t="str">
        <f>HYPERLINK("https://www.senado.gob.ar/parlamentario/comisiones/verExp/66.25/PE/DC","2025")</f>
        <v>2025</v>
      </c>
      <c r="D821" s="2" t="s">
        <v>1348</v>
      </c>
      <c r="E821" s="2" t="s">
        <v>1611</v>
      </c>
      <c r="F821" s="2" t="s">
        <v>759</v>
      </c>
      <c r="I821" s="2" t="s">
        <v>744</v>
      </c>
      <c r="K821" s="2" t="s">
        <v>44</v>
      </c>
      <c r="L821" s="2" t="s">
        <v>744</v>
      </c>
      <c r="O821" s="2">
        <v>105.0</v>
      </c>
      <c r="P821" s="2" t="s">
        <v>1350</v>
      </c>
      <c r="Q821" s="2" t="s">
        <v>912</v>
      </c>
      <c r="AI821" s="2" t="str">
        <f t="shared" si="18"/>
        <v/>
      </c>
      <c r="AJ821" s="2" t="s">
        <v>49</v>
      </c>
      <c r="AK821" s="2" t="s">
        <v>50</v>
      </c>
    </row>
    <row r="822" ht="15.75" customHeight="1">
      <c r="A822" s="2" t="s">
        <v>39</v>
      </c>
      <c r="B822" s="3" t="str">
        <f>HYPERLINK("https://www.senado.gob.ar/parlamentario/comisiones/verExp/66.25/S/PL","66")</f>
        <v>66</v>
      </c>
      <c r="C822" s="3" t="str">
        <f>HYPERLINK("https://www.senado.gob.ar/parlamentario/comisiones/verExp/66.25/S/PL","2025")</f>
        <v>2025</v>
      </c>
      <c r="D822" s="2" t="s">
        <v>56</v>
      </c>
      <c r="E822" s="2" t="s">
        <v>1612</v>
      </c>
      <c r="F822" s="2" t="s">
        <v>1579</v>
      </c>
      <c r="I822" s="2" t="s">
        <v>1590</v>
      </c>
      <c r="K822" s="2" t="s">
        <v>44</v>
      </c>
      <c r="L822" s="2" t="s">
        <v>1280</v>
      </c>
      <c r="N822" s="2" t="s">
        <v>312</v>
      </c>
      <c r="O822" s="2">
        <v>65.0</v>
      </c>
      <c r="P822" s="2" t="s">
        <v>153</v>
      </c>
      <c r="Q822" s="2" t="s">
        <v>1594</v>
      </c>
      <c r="S822" s="2">
        <v>54.0</v>
      </c>
      <c r="T822" s="2" t="s">
        <v>65</v>
      </c>
      <c r="U822" s="2" t="s">
        <v>1594</v>
      </c>
      <c r="AI822" s="2" t="str">
        <f t="shared" si="18"/>
        <v/>
      </c>
      <c r="AJ822" s="2" t="s">
        <v>49</v>
      </c>
      <c r="AK822" s="2" t="s">
        <v>50</v>
      </c>
    </row>
    <row r="823" ht="15.75" customHeight="1">
      <c r="A823" s="2" t="s">
        <v>1347</v>
      </c>
      <c r="B823" s="3" t="str">
        <f>HYPERLINK("https://www.senado.gob.ar/parlamentario/comisiones/verExp/65.25/PE/DC","65")</f>
        <v>65</v>
      </c>
      <c r="C823" s="3" t="str">
        <f>HYPERLINK("https://www.senado.gob.ar/parlamentario/comisiones/verExp/65.25/PE/DC","2025")</f>
        <v>2025</v>
      </c>
      <c r="D823" s="2" t="s">
        <v>1348</v>
      </c>
      <c r="E823" s="2" t="s">
        <v>1613</v>
      </c>
      <c r="F823" s="2" t="s">
        <v>759</v>
      </c>
      <c r="I823" s="2" t="s">
        <v>744</v>
      </c>
      <c r="K823" s="2" t="s">
        <v>44</v>
      </c>
      <c r="L823" s="2" t="s">
        <v>744</v>
      </c>
      <c r="O823" s="2">
        <v>105.0</v>
      </c>
      <c r="P823" s="2" t="s">
        <v>1350</v>
      </c>
      <c r="Q823" s="2" t="s">
        <v>912</v>
      </c>
      <c r="AI823" s="2" t="str">
        <f t="shared" si="18"/>
        <v/>
      </c>
      <c r="AJ823" s="2" t="s">
        <v>49</v>
      </c>
      <c r="AK823" s="2" t="s">
        <v>50</v>
      </c>
    </row>
    <row r="824" ht="15.75" customHeight="1">
      <c r="A824" s="2" t="s">
        <v>39</v>
      </c>
      <c r="B824" s="3" t="str">
        <f>HYPERLINK("https://www.senado.gob.ar/parlamentario/comisiones/verExp/65.25/S/PL","65")</f>
        <v>65</v>
      </c>
      <c r="C824" s="3" t="str">
        <f>HYPERLINK("https://www.senado.gob.ar/parlamentario/comisiones/verExp/65.25/S/PL","2025")</f>
        <v>2025</v>
      </c>
      <c r="D824" s="2" t="s">
        <v>56</v>
      </c>
      <c r="E824" s="2" t="s">
        <v>1614</v>
      </c>
      <c r="F824" s="2" t="s">
        <v>1579</v>
      </c>
      <c r="I824" s="2" t="s">
        <v>1590</v>
      </c>
      <c r="K824" s="2" t="s">
        <v>44</v>
      </c>
      <c r="L824" s="2" t="s">
        <v>1280</v>
      </c>
      <c r="N824" s="2" t="s">
        <v>312</v>
      </c>
      <c r="O824" s="2">
        <v>69.0</v>
      </c>
      <c r="P824" s="2" t="s">
        <v>135</v>
      </c>
      <c r="Q824" s="2" t="s">
        <v>1594</v>
      </c>
      <c r="S824" s="2">
        <v>52.0</v>
      </c>
      <c r="T824" s="2" t="s">
        <v>78</v>
      </c>
      <c r="U824" s="2" t="s">
        <v>1594</v>
      </c>
      <c r="AI824" s="2" t="str">
        <f t="shared" si="18"/>
        <v/>
      </c>
      <c r="AJ824" s="2" t="s">
        <v>49</v>
      </c>
      <c r="AK824" s="2" t="s">
        <v>50</v>
      </c>
    </row>
    <row r="825" ht="15.75" customHeight="1">
      <c r="A825" s="2" t="s">
        <v>1347</v>
      </c>
      <c r="B825" s="3" t="str">
        <f>HYPERLINK("https://www.senado.gob.ar/parlamentario/comisiones/verExp/64.25/PE/DC","64")</f>
        <v>64</v>
      </c>
      <c r="C825" s="3" t="str">
        <f>HYPERLINK("https://www.senado.gob.ar/parlamentario/comisiones/verExp/64.25/PE/DC","2025")</f>
        <v>2025</v>
      </c>
      <c r="D825" s="2" t="s">
        <v>1348</v>
      </c>
      <c r="E825" s="2" t="s">
        <v>1615</v>
      </c>
      <c r="F825" s="2" t="s">
        <v>759</v>
      </c>
      <c r="I825" s="2" t="s">
        <v>744</v>
      </c>
      <c r="K825" s="2" t="s">
        <v>44</v>
      </c>
      <c r="L825" s="2" t="s">
        <v>744</v>
      </c>
      <c r="O825" s="2">
        <v>105.0</v>
      </c>
      <c r="P825" s="2" t="s">
        <v>1350</v>
      </c>
      <c r="Q825" s="2" t="s">
        <v>912</v>
      </c>
      <c r="AI825" s="2" t="str">
        <f t="shared" si="18"/>
        <v/>
      </c>
      <c r="AJ825" s="2" t="s">
        <v>49</v>
      </c>
      <c r="AK825" s="2" t="s">
        <v>50</v>
      </c>
    </row>
    <row r="826" ht="15.75" customHeight="1">
      <c r="A826" s="2" t="s">
        <v>39</v>
      </c>
      <c r="B826" s="3" t="str">
        <f>HYPERLINK("https://www.senado.gob.ar/parlamentario/comisiones/verExp/64.25/S/PL","64")</f>
        <v>64</v>
      </c>
      <c r="C826" s="3" t="str">
        <f>HYPERLINK("https://www.senado.gob.ar/parlamentario/comisiones/verExp/64.25/S/PL","2025")</f>
        <v>2025</v>
      </c>
      <c r="D826" s="2" t="s">
        <v>56</v>
      </c>
      <c r="E826" s="2" t="s">
        <v>1616</v>
      </c>
      <c r="F826" s="2" t="s">
        <v>1579</v>
      </c>
      <c r="I826" s="2" t="s">
        <v>1590</v>
      </c>
      <c r="K826" s="2" t="s">
        <v>44</v>
      </c>
      <c r="L826" s="2" t="s">
        <v>1280</v>
      </c>
      <c r="N826" s="2" t="s">
        <v>312</v>
      </c>
      <c r="O826" s="2">
        <v>61.0</v>
      </c>
      <c r="P826" s="2" t="s">
        <v>104</v>
      </c>
      <c r="Q826" s="2" t="s">
        <v>1594</v>
      </c>
      <c r="S826" s="2">
        <v>54.0</v>
      </c>
      <c r="T826" s="2" t="s">
        <v>65</v>
      </c>
      <c r="U826" s="2" t="s">
        <v>1594</v>
      </c>
      <c r="AI826" s="2" t="str">
        <f t="shared" si="18"/>
        <v/>
      </c>
      <c r="AJ826" s="2" t="s">
        <v>49</v>
      </c>
      <c r="AK826" s="2" t="s">
        <v>50</v>
      </c>
    </row>
    <row r="827" ht="15.75" customHeight="1">
      <c r="A827" s="2" t="s">
        <v>1347</v>
      </c>
      <c r="B827" s="3" t="str">
        <f>HYPERLINK("https://www.senado.gob.ar/parlamentario/comisiones/verExp/63.25/PE/DC","63")</f>
        <v>63</v>
      </c>
      <c r="C827" s="3" t="str">
        <f>HYPERLINK("https://www.senado.gob.ar/parlamentario/comisiones/verExp/63.25/PE/DC","2025")</f>
        <v>2025</v>
      </c>
      <c r="D827" s="2" t="s">
        <v>1348</v>
      </c>
      <c r="E827" s="2" t="s">
        <v>1617</v>
      </c>
      <c r="F827" s="2" t="s">
        <v>759</v>
      </c>
      <c r="I827" s="2" t="s">
        <v>744</v>
      </c>
      <c r="K827" s="2" t="s">
        <v>44</v>
      </c>
      <c r="L827" s="2" t="s">
        <v>744</v>
      </c>
      <c r="O827" s="2">
        <v>105.0</v>
      </c>
      <c r="P827" s="2" t="s">
        <v>1350</v>
      </c>
      <c r="Q827" s="2" t="s">
        <v>912</v>
      </c>
      <c r="AI827" s="2" t="str">
        <f t="shared" si="18"/>
        <v/>
      </c>
      <c r="AJ827" s="2" t="s">
        <v>49</v>
      </c>
      <c r="AK827" s="2" t="s">
        <v>50</v>
      </c>
    </row>
    <row r="828" ht="15.75" customHeight="1">
      <c r="A828" s="2" t="s">
        <v>39</v>
      </c>
      <c r="B828" s="3" t="str">
        <f>HYPERLINK("https://www.senado.gob.ar/parlamentario/comisiones/verExp/63.25/S/PL","63")</f>
        <v>63</v>
      </c>
      <c r="C828" s="3" t="str">
        <f>HYPERLINK("https://www.senado.gob.ar/parlamentario/comisiones/verExp/63.25/S/PL","2025")</f>
        <v>2025</v>
      </c>
      <c r="D828" s="2" t="s">
        <v>56</v>
      </c>
      <c r="E828" s="2" t="s">
        <v>1618</v>
      </c>
      <c r="F828" s="2" t="s">
        <v>1579</v>
      </c>
      <c r="I828" s="2" t="s">
        <v>1590</v>
      </c>
      <c r="K828" s="2" t="s">
        <v>44</v>
      </c>
      <c r="L828" s="2" t="s">
        <v>1280</v>
      </c>
      <c r="N828" s="2" t="s">
        <v>312</v>
      </c>
      <c r="O828" s="2">
        <v>74.0</v>
      </c>
      <c r="P828" s="2" t="s">
        <v>256</v>
      </c>
      <c r="Q828" s="2" t="s">
        <v>1594</v>
      </c>
      <c r="S828" s="2">
        <v>54.0</v>
      </c>
      <c r="T828" s="2" t="s">
        <v>65</v>
      </c>
      <c r="U828" s="2" t="s">
        <v>1594</v>
      </c>
      <c r="AI828" s="2" t="str">
        <f t="shared" si="18"/>
        <v/>
      </c>
      <c r="AJ828" s="2" t="s">
        <v>49</v>
      </c>
      <c r="AK828" s="2" t="s">
        <v>50</v>
      </c>
    </row>
    <row r="829" ht="15.75" customHeight="1">
      <c r="A829" s="2" t="s">
        <v>1347</v>
      </c>
      <c r="B829" s="3" t="str">
        <f>HYPERLINK("https://www.senado.gob.ar/parlamentario/comisiones/verExp/62.25/PE/DC","62")</f>
        <v>62</v>
      </c>
      <c r="C829" s="3" t="str">
        <f>HYPERLINK("https://www.senado.gob.ar/parlamentario/comisiones/verExp/62.25/PE/DC","2025")</f>
        <v>2025</v>
      </c>
      <c r="D829" s="2" t="s">
        <v>1348</v>
      </c>
      <c r="E829" s="2" t="s">
        <v>1619</v>
      </c>
      <c r="F829" s="2" t="s">
        <v>759</v>
      </c>
      <c r="I829" s="2" t="s">
        <v>744</v>
      </c>
      <c r="K829" s="2" t="s">
        <v>44</v>
      </c>
      <c r="L829" s="2" t="s">
        <v>744</v>
      </c>
      <c r="O829" s="2">
        <v>105.0</v>
      </c>
      <c r="P829" s="2" t="s">
        <v>1350</v>
      </c>
      <c r="Q829" s="2" t="s">
        <v>912</v>
      </c>
      <c r="AI829" s="2" t="str">
        <f t="shared" si="18"/>
        <v/>
      </c>
      <c r="AJ829" s="2" t="s">
        <v>49</v>
      </c>
      <c r="AK829" s="2" t="s">
        <v>50</v>
      </c>
    </row>
    <row r="830" ht="15.75" customHeight="1">
      <c r="A830" s="2" t="s">
        <v>39</v>
      </c>
      <c r="B830" s="3" t="str">
        <f>HYPERLINK("https://www.senado.gob.ar/parlamentario/comisiones/verExp/62.25/S/PL","62")</f>
        <v>62</v>
      </c>
      <c r="C830" s="3" t="str">
        <f>HYPERLINK("https://www.senado.gob.ar/parlamentario/comisiones/verExp/62.25/S/PL","2025")</f>
        <v>2025</v>
      </c>
      <c r="D830" s="2" t="s">
        <v>56</v>
      </c>
      <c r="E830" s="2" t="s">
        <v>1620</v>
      </c>
      <c r="F830" s="2" t="s">
        <v>1579</v>
      </c>
      <c r="I830" s="2" t="s">
        <v>1590</v>
      </c>
      <c r="K830" s="2" t="s">
        <v>44</v>
      </c>
      <c r="L830" s="2" t="s">
        <v>1280</v>
      </c>
      <c r="N830" s="2" t="s">
        <v>312</v>
      </c>
      <c r="O830" s="2">
        <v>73.0</v>
      </c>
      <c r="P830" s="2" t="s">
        <v>237</v>
      </c>
      <c r="Q830" s="2" t="s">
        <v>1594</v>
      </c>
      <c r="S830" s="2">
        <v>54.0</v>
      </c>
      <c r="T830" s="2" t="s">
        <v>65</v>
      </c>
      <c r="U830" s="2" t="s">
        <v>1594</v>
      </c>
      <c r="AI830" s="2" t="str">
        <f t="shared" si="18"/>
        <v/>
      </c>
      <c r="AJ830" s="2" t="s">
        <v>49</v>
      </c>
      <c r="AK830" s="2" t="s">
        <v>50</v>
      </c>
    </row>
    <row r="831" ht="15.75" customHeight="1">
      <c r="A831" s="2" t="s">
        <v>39</v>
      </c>
      <c r="B831" s="3" t="str">
        <f>HYPERLINK("https://www.senado.gob.ar/parlamentario/comisiones/verExp/61.25/S/PL","61")</f>
        <v>61</v>
      </c>
      <c r="C831" s="3" t="str">
        <f>HYPERLINK("https://www.senado.gob.ar/parlamentario/comisiones/verExp/61.25/S/PL","2025")</f>
        <v>2025</v>
      </c>
      <c r="D831" s="2" t="s">
        <v>56</v>
      </c>
      <c r="E831" s="2" t="s">
        <v>1621</v>
      </c>
      <c r="F831" s="2" t="s">
        <v>1622</v>
      </c>
      <c r="I831" s="2" t="s">
        <v>1590</v>
      </c>
      <c r="K831" s="2" t="s">
        <v>44</v>
      </c>
      <c r="L831" s="2" t="s">
        <v>1280</v>
      </c>
      <c r="N831" s="2" t="s">
        <v>312</v>
      </c>
      <c r="O831" s="2">
        <v>67.0</v>
      </c>
      <c r="P831" s="2" t="s">
        <v>84</v>
      </c>
      <c r="Q831" s="2" t="s">
        <v>1594</v>
      </c>
      <c r="AI831" s="2" t="str">
        <f t="shared" si="18"/>
        <v/>
      </c>
      <c r="AJ831" s="2" t="s">
        <v>49</v>
      </c>
      <c r="AK831" s="2" t="s">
        <v>50</v>
      </c>
    </row>
    <row r="832" ht="15.75" customHeight="1">
      <c r="A832" s="2" t="s">
        <v>39</v>
      </c>
      <c r="B832" s="3" t="str">
        <f>HYPERLINK("https://www.senado.gob.ar/parlamentario/comisiones/verExp/60.25/S/PL","60")</f>
        <v>60</v>
      </c>
      <c r="C832" s="3" t="str">
        <f>HYPERLINK("https://www.senado.gob.ar/parlamentario/comisiones/verExp/60.25/S/PL","2025")</f>
        <v>2025</v>
      </c>
      <c r="D832" s="2" t="s">
        <v>56</v>
      </c>
      <c r="E832" s="2" t="s">
        <v>1623</v>
      </c>
      <c r="F832" s="2" t="s">
        <v>1622</v>
      </c>
      <c r="I832" s="2" t="s">
        <v>1590</v>
      </c>
      <c r="K832" s="2" t="s">
        <v>44</v>
      </c>
      <c r="L832" s="2" t="s">
        <v>1280</v>
      </c>
      <c r="N832" s="2" t="s">
        <v>312</v>
      </c>
      <c r="O832" s="2">
        <v>75.0</v>
      </c>
      <c r="P832" s="2" t="s">
        <v>71</v>
      </c>
      <c r="Q832" s="2" t="s">
        <v>1594</v>
      </c>
      <c r="S832" s="2">
        <v>78.0</v>
      </c>
      <c r="T832" s="2" t="s">
        <v>73</v>
      </c>
      <c r="U832" s="2" t="s">
        <v>1594</v>
      </c>
      <c r="AI832" s="2" t="str">
        <f t="shared" si="18"/>
        <v/>
      </c>
      <c r="AJ832" s="2" t="s">
        <v>49</v>
      </c>
      <c r="AK832" s="2" t="s">
        <v>50</v>
      </c>
    </row>
    <row r="833" ht="15.75" customHeight="1">
      <c r="A833" s="2" t="s">
        <v>1141</v>
      </c>
      <c r="B833" s="3" t="str">
        <f>HYPERLINK("https://www.senado.gob.ar/parlamentario/comisiones/verExp/59.25/OV/CA","59")</f>
        <v>59</v>
      </c>
      <c r="C833" s="3" t="str">
        <f>HYPERLINK("https://www.senado.gob.ar/parlamentario/comisiones/verExp/59.25/OV/CA","2025")</f>
        <v>2025</v>
      </c>
      <c r="D833" s="2" t="s">
        <v>1219</v>
      </c>
      <c r="E833" s="2" t="s">
        <v>1624</v>
      </c>
      <c r="F833" s="2" t="s">
        <v>1604</v>
      </c>
      <c r="I833" s="2" t="s">
        <v>1122</v>
      </c>
      <c r="K833" s="2" t="s">
        <v>44</v>
      </c>
      <c r="L833" s="2" t="s">
        <v>1112</v>
      </c>
      <c r="O833" s="2">
        <v>100.0</v>
      </c>
      <c r="P833" s="2" t="s">
        <v>1146</v>
      </c>
      <c r="Q833" s="2" t="s">
        <v>1123</v>
      </c>
      <c r="AI833" s="2" t="str">
        <f t="shared" si="18"/>
        <v/>
      </c>
      <c r="AJ833" s="2" t="s">
        <v>49</v>
      </c>
      <c r="AK833" s="2" t="s">
        <v>50</v>
      </c>
    </row>
    <row r="834" ht="15.75" customHeight="1">
      <c r="A834" s="2" t="s">
        <v>39</v>
      </c>
      <c r="B834" s="3" t="str">
        <f>HYPERLINK("https://www.senado.gob.ar/parlamentario/comisiones/verExp/59.25/S/PL","59")</f>
        <v>59</v>
      </c>
      <c r="C834" s="3" t="str">
        <f>HYPERLINK("https://www.senado.gob.ar/parlamentario/comisiones/verExp/59.25/S/PL","2025")</f>
        <v>2025</v>
      </c>
      <c r="D834" s="2" t="s">
        <v>56</v>
      </c>
      <c r="E834" s="2" t="s">
        <v>1625</v>
      </c>
      <c r="F834" s="2" t="s">
        <v>1622</v>
      </c>
      <c r="I834" s="2" t="s">
        <v>1590</v>
      </c>
      <c r="K834" s="2" t="s">
        <v>44</v>
      </c>
      <c r="L834" s="2" t="s">
        <v>1280</v>
      </c>
      <c r="N834" s="2" t="s">
        <v>312</v>
      </c>
      <c r="O834" s="2">
        <v>67.0</v>
      </c>
      <c r="P834" s="2" t="s">
        <v>84</v>
      </c>
      <c r="Q834" s="2" t="s">
        <v>1594</v>
      </c>
      <c r="S834" s="2">
        <v>54.0</v>
      </c>
      <c r="T834" s="2" t="s">
        <v>65</v>
      </c>
      <c r="U834" s="2" t="s">
        <v>1594</v>
      </c>
      <c r="AI834" s="2" t="str">
        <f t="shared" si="18"/>
        <v/>
      </c>
      <c r="AJ834" s="2" t="s">
        <v>49</v>
      </c>
      <c r="AK834" s="2" t="s">
        <v>50</v>
      </c>
    </row>
    <row r="835" ht="15.75" customHeight="1">
      <c r="A835" s="2" t="s">
        <v>1141</v>
      </c>
      <c r="B835" s="3" t="str">
        <f>HYPERLINK("https://www.senado.gob.ar/parlamentario/comisiones/verExp/58.25/OV/CA","58")</f>
        <v>58</v>
      </c>
      <c r="C835" s="3" t="str">
        <f>HYPERLINK("https://www.senado.gob.ar/parlamentario/comisiones/verExp/58.25/OV/CA","2025")</f>
        <v>2025</v>
      </c>
      <c r="D835" s="2" t="s">
        <v>1219</v>
      </c>
      <c r="E835" s="2" t="s">
        <v>1626</v>
      </c>
      <c r="F835" s="2" t="s">
        <v>1604</v>
      </c>
      <c r="I835" s="2" t="s">
        <v>1122</v>
      </c>
      <c r="K835" s="2" t="s">
        <v>44</v>
      </c>
      <c r="L835" s="2" t="s">
        <v>1112</v>
      </c>
      <c r="O835" s="2">
        <v>100.0</v>
      </c>
      <c r="P835" s="2" t="s">
        <v>1146</v>
      </c>
      <c r="Q835" s="2" t="s">
        <v>1123</v>
      </c>
      <c r="AI835" s="2" t="str">
        <f t="shared" si="18"/>
        <v/>
      </c>
      <c r="AJ835" s="2" t="s">
        <v>49</v>
      </c>
      <c r="AK835" s="2" t="s">
        <v>50</v>
      </c>
    </row>
    <row r="836" ht="15.75" customHeight="1">
      <c r="A836" s="2" t="s">
        <v>1347</v>
      </c>
      <c r="B836" s="3" t="str">
        <f>HYPERLINK("https://www.senado.gob.ar/parlamentario/comisiones/verExp/58.25/PE/DC","58")</f>
        <v>58</v>
      </c>
      <c r="C836" s="3" t="str">
        <f>HYPERLINK("https://www.senado.gob.ar/parlamentario/comisiones/verExp/58.25/PE/DC","2025")</f>
        <v>2025</v>
      </c>
      <c r="D836" s="2" t="s">
        <v>1348</v>
      </c>
      <c r="E836" s="2" t="s">
        <v>1627</v>
      </c>
      <c r="F836" s="2" t="s">
        <v>759</v>
      </c>
      <c r="I836" s="2" t="s">
        <v>760</v>
      </c>
      <c r="K836" s="2" t="s">
        <v>44</v>
      </c>
      <c r="L836" s="2" t="s">
        <v>760</v>
      </c>
      <c r="O836" s="2">
        <v>105.0</v>
      </c>
      <c r="P836" s="2" t="s">
        <v>1350</v>
      </c>
      <c r="Q836" s="2" t="s">
        <v>766</v>
      </c>
      <c r="AI836" s="2" t="str">
        <f t="shared" si="18"/>
        <v/>
      </c>
      <c r="AJ836" s="2" t="s">
        <v>49</v>
      </c>
      <c r="AK836" s="2" t="s">
        <v>50</v>
      </c>
    </row>
    <row r="837" ht="15.75" customHeight="1">
      <c r="A837" s="2" t="s">
        <v>39</v>
      </c>
      <c r="B837" s="3" t="str">
        <f>HYPERLINK("https://www.senado.gob.ar/parlamentario/comisiones/verExp/58.25/S/PL","58")</f>
        <v>58</v>
      </c>
      <c r="C837" s="3" t="str">
        <f>HYPERLINK("https://www.senado.gob.ar/parlamentario/comisiones/verExp/58.25/S/PL","2025")</f>
        <v>2025</v>
      </c>
      <c r="D837" s="2" t="s">
        <v>56</v>
      </c>
      <c r="E837" s="2" t="s">
        <v>1628</v>
      </c>
      <c r="F837" s="2" t="s">
        <v>1622</v>
      </c>
      <c r="I837" s="2" t="s">
        <v>1590</v>
      </c>
      <c r="K837" s="2" t="s">
        <v>44</v>
      </c>
      <c r="L837" s="2" t="s">
        <v>1280</v>
      </c>
      <c r="N837" s="2" t="s">
        <v>312</v>
      </c>
      <c r="O837" s="2">
        <v>58.0</v>
      </c>
      <c r="P837" s="2" t="s">
        <v>194</v>
      </c>
      <c r="Q837" s="2" t="s">
        <v>1594</v>
      </c>
      <c r="S837" s="2">
        <v>54.0</v>
      </c>
      <c r="T837" s="2" t="s">
        <v>65</v>
      </c>
      <c r="U837" s="2" t="s">
        <v>1594</v>
      </c>
      <c r="AI837" s="2" t="str">
        <f t="shared" si="18"/>
        <v/>
      </c>
      <c r="AJ837" s="2" t="s">
        <v>49</v>
      </c>
      <c r="AK837" s="2" t="s">
        <v>50</v>
      </c>
    </row>
    <row r="838" ht="15.75" customHeight="1">
      <c r="A838" s="2" t="s">
        <v>1141</v>
      </c>
      <c r="B838" s="3" t="str">
        <f>HYPERLINK("https://www.senado.gob.ar/parlamentario/comisiones/verExp/57.25/OV/CA","57")</f>
        <v>57</v>
      </c>
      <c r="C838" s="3" t="str">
        <f>HYPERLINK("https://www.senado.gob.ar/parlamentario/comisiones/verExp/57.25/OV/CA","2025")</f>
        <v>2025</v>
      </c>
      <c r="D838" s="2" t="s">
        <v>1219</v>
      </c>
      <c r="E838" s="2" t="s">
        <v>1629</v>
      </c>
      <c r="F838" s="2" t="s">
        <v>1604</v>
      </c>
      <c r="I838" s="2" t="s">
        <v>1122</v>
      </c>
      <c r="K838" s="2" t="s">
        <v>44</v>
      </c>
      <c r="L838" s="2" t="s">
        <v>1112</v>
      </c>
      <c r="O838" s="2">
        <v>100.0</v>
      </c>
      <c r="P838" s="2" t="s">
        <v>1146</v>
      </c>
      <c r="Q838" s="2" t="s">
        <v>1123</v>
      </c>
      <c r="AI838" s="2" t="str">
        <f t="shared" si="18"/>
        <v/>
      </c>
      <c r="AJ838" s="2" t="s">
        <v>49</v>
      </c>
      <c r="AK838" s="2" t="s">
        <v>50</v>
      </c>
    </row>
    <row r="839" ht="15.75" customHeight="1">
      <c r="A839" s="2" t="s">
        <v>1347</v>
      </c>
      <c r="B839" s="3" t="str">
        <f>HYPERLINK("https://www.senado.gob.ar/parlamentario/comisiones/verExp/57.25/PE/RP","57")</f>
        <v>57</v>
      </c>
      <c r="C839" s="3" t="str">
        <f>HYPERLINK("https://www.senado.gob.ar/parlamentario/comisiones/verExp/57.25/PE/RP","2025")</f>
        <v>2025</v>
      </c>
      <c r="D839" s="2" t="s">
        <v>1419</v>
      </c>
      <c r="E839" s="2" t="s">
        <v>1630</v>
      </c>
      <c r="F839" s="2" t="s">
        <v>602</v>
      </c>
      <c r="I839" s="2" t="s">
        <v>774</v>
      </c>
      <c r="K839" s="2" t="s">
        <v>44</v>
      </c>
      <c r="L839" s="2" t="s">
        <v>774</v>
      </c>
      <c r="O839" s="2">
        <v>75.0</v>
      </c>
      <c r="P839" s="2" t="s">
        <v>71</v>
      </c>
      <c r="Q839" s="2" t="s">
        <v>1631</v>
      </c>
      <c r="AI839" s="2" t="str">
        <f t="shared" si="18"/>
        <v/>
      </c>
      <c r="AJ839" s="2" t="s">
        <v>49</v>
      </c>
      <c r="AK839" s="2" t="s">
        <v>50</v>
      </c>
    </row>
    <row r="840" ht="15.75" customHeight="1">
      <c r="A840" s="2" t="s">
        <v>39</v>
      </c>
      <c r="B840" s="3" t="str">
        <f>HYPERLINK("https://www.senado.gob.ar/parlamentario/comisiones/verExp/57.25/S/PL","57")</f>
        <v>57</v>
      </c>
      <c r="C840" s="3" t="str">
        <f>HYPERLINK("https://www.senado.gob.ar/parlamentario/comisiones/verExp/57.25/S/PL","2025")</f>
        <v>2025</v>
      </c>
      <c r="D840" s="2" t="s">
        <v>56</v>
      </c>
      <c r="E840" s="2" t="s">
        <v>1632</v>
      </c>
      <c r="F840" s="2" t="s">
        <v>1622</v>
      </c>
      <c r="I840" s="2" t="s">
        <v>1590</v>
      </c>
      <c r="K840" s="2" t="s">
        <v>44</v>
      </c>
      <c r="L840" s="2" t="s">
        <v>1280</v>
      </c>
      <c r="N840" s="2" t="s">
        <v>312</v>
      </c>
      <c r="O840" s="2">
        <v>50.0</v>
      </c>
      <c r="P840" s="2" t="s">
        <v>47</v>
      </c>
      <c r="Q840" s="2" t="s">
        <v>1594</v>
      </c>
      <c r="S840" s="2">
        <v>52.0</v>
      </c>
      <c r="T840" s="2" t="s">
        <v>78</v>
      </c>
      <c r="U840" s="2" t="s">
        <v>1594</v>
      </c>
      <c r="W840" s="2">
        <v>53.0</v>
      </c>
      <c r="X840" s="2" t="s">
        <v>76</v>
      </c>
      <c r="Y840" s="2" t="s">
        <v>1594</v>
      </c>
      <c r="AI840" s="2" t="str">
        <f t="shared" si="18"/>
        <v/>
      </c>
      <c r="AJ840" s="2" t="s">
        <v>49</v>
      </c>
      <c r="AK840" s="2" t="s">
        <v>50</v>
      </c>
    </row>
    <row r="841" ht="15.75" customHeight="1">
      <c r="A841" s="2" t="s">
        <v>1141</v>
      </c>
      <c r="B841" s="3" t="str">
        <f>HYPERLINK("https://www.senado.gob.ar/parlamentario/comisiones/verExp/56.25/OV/CA","56")</f>
        <v>56</v>
      </c>
      <c r="C841" s="3" t="str">
        <f>HYPERLINK("https://www.senado.gob.ar/parlamentario/comisiones/verExp/56.25/OV/CA","2025")</f>
        <v>2025</v>
      </c>
      <c r="D841" s="2" t="s">
        <v>1219</v>
      </c>
      <c r="E841" s="2" t="s">
        <v>1633</v>
      </c>
      <c r="F841" s="2" t="s">
        <v>1604</v>
      </c>
      <c r="I841" s="2" t="s">
        <v>1122</v>
      </c>
      <c r="K841" s="2" t="s">
        <v>44</v>
      </c>
      <c r="L841" s="2" t="s">
        <v>1112</v>
      </c>
      <c r="O841" s="2">
        <v>100.0</v>
      </c>
      <c r="P841" s="2" t="s">
        <v>1146</v>
      </c>
      <c r="Q841" s="2" t="s">
        <v>1123</v>
      </c>
      <c r="AI841" s="2" t="str">
        <f t="shared" si="18"/>
        <v/>
      </c>
      <c r="AJ841" s="2" t="s">
        <v>49</v>
      </c>
      <c r="AK841" s="2" t="s">
        <v>50</v>
      </c>
    </row>
    <row r="842" ht="15.75" customHeight="1">
      <c r="A842" s="2" t="s">
        <v>39</v>
      </c>
      <c r="B842" s="3" t="str">
        <f>HYPERLINK("https://www.senado.gob.ar/parlamentario/comisiones/verExp/56.25/S/PL","56")</f>
        <v>56</v>
      </c>
      <c r="C842" s="3" t="str">
        <f>HYPERLINK("https://www.senado.gob.ar/parlamentario/comisiones/verExp/56.25/S/PL","2025")</f>
        <v>2025</v>
      </c>
      <c r="D842" s="2" t="s">
        <v>56</v>
      </c>
      <c r="E842" s="2" t="s">
        <v>1634</v>
      </c>
      <c r="F842" s="2" t="s">
        <v>1622</v>
      </c>
      <c r="I842" s="2" t="s">
        <v>1590</v>
      </c>
      <c r="K842" s="2" t="s">
        <v>44</v>
      </c>
      <c r="L842" s="2" t="s">
        <v>1280</v>
      </c>
      <c r="N842" s="2" t="s">
        <v>312</v>
      </c>
      <c r="O842" s="2">
        <v>69.0</v>
      </c>
      <c r="P842" s="2" t="s">
        <v>135</v>
      </c>
      <c r="Q842" s="2" t="s">
        <v>1594</v>
      </c>
      <c r="S842" s="2">
        <v>62.0</v>
      </c>
      <c r="T842" s="2" t="s">
        <v>205</v>
      </c>
      <c r="U842" s="2" t="s">
        <v>1594</v>
      </c>
      <c r="W842" s="2">
        <v>52.0</v>
      </c>
      <c r="X842" s="2" t="s">
        <v>78</v>
      </c>
      <c r="Y842" s="2" t="s">
        <v>1594</v>
      </c>
      <c r="AI842" s="2" t="str">
        <f t="shared" si="18"/>
        <v/>
      </c>
      <c r="AJ842" s="2" t="s">
        <v>49</v>
      </c>
      <c r="AK842" s="2" t="s">
        <v>50</v>
      </c>
    </row>
    <row r="843" ht="15.75" customHeight="1">
      <c r="A843" s="2" t="s">
        <v>1141</v>
      </c>
      <c r="B843" s="3" t="str">
        <f>HYPERLINK("https://www.senado.gob.ar/parlamentario/comisiones/verExp/55.25/OV/CA","55")</f>
        <v>55</v>
      </c>
      <c r="C843" s="3" t="str">
        <f>HYPERLINK("https://www.senado.gob.ar/parlamentario/comisiones/verExp/55.25/OV/CA","2025")</f>
        <v>2025</v>
      </c>
      <c r="D843" s="2" t="s">
        <v>1219</v>
      </c>
      <c r="E843" s="2" t="s">
        <v>1635</v>
      </c>
      <c r="F843" s="2" t="s">
        <v>1604</v>
      </c>
      <c r="I843" s="2" t="s">
        <v>1122</v>
      </c>
      <c r="K843" s="2" t="s">
        <v>44</v>
      </c>
      <c r="L843" s="2" t="s">
        <v>1112</v>
      </c>
      <c r="O843" s="2">
        <v>100.0</v>
      </c>
      <c r="P843" s="2" t="s">
        <v>1146</v>
      </c>
      <c r="Q843" s="2" t="s">
        <v>1123</v>
      </c>
      <c r="AI843" s="2" t="str">
        <f t="shared" si="18"/>
        <v/>
      </c>
      <c r="AJ843" s="2" t="s">
        <v>49</v>
      </c>
      <c r="AK843" s="2" t="s">
        <v>50</v>
      </c>
    </row>
    <row r="844" ht="15.75" customHeight="1">
      <c r="A844" s="2" t="s">
        <v>1347</v>
      </c>
      <c r="B844" s="3" t="str">
        <f>HYPERLINK("https://www.senado.gob.ar/parlamentario/comisiones/verExp/55.25/PE/RP","55")</f>
        <v>55</v>
      </c>
      <c r="C844" s="3" t="str">
        <f>HYPERLINK("https://www.senado.gob.ar/parlamentario/comisiones/verExp/55.25/PE/RP","2025")</f>
        <v>2025</v>
      </c>
      <c r="D844" s="2" t="s">
        <v>1419</v>
      </c>
      <c r="E844" s="2" t="s">
        <v>1636</v>
      </c>
      <c r="F844" s="2" t="s">
        <v>602</v>
      </c>
      <c r="I844" s="2" t="s">
        <v>774</v>
      </c>
      <c r="K844" s="2" t="s">
        <v>44</v>
      </c>
      <c r="L844" s="2" t="s">
        <v>774</v>
      </c>
      <c r="O844" s="2">
        <v>75.0</v>
      </c>
      <c r="P844" s="2" t="s">
        <v>71</v>
      </c>
      <c r="Q844" s="2" t="s">
        <v>1631</v>
      </c>
      <c r="AI844" s="2" t="str">
        <f t="shared" si="18"/>
        <v/>
      </c>
      <c r="AJ844" s="2" t="s">
        <v>49</v>
      </c>
      <c r="AK844" s="2" t="s">
        <v>50</v>
      </c>
    </row>
    <row r="845" ht="15.75" customHeight="1">
      <c r="A845" s="2" t="s">
        <v>39</v>
      </c>
      <c r="B845" s="3" t="str">
        <f>HYPERLINK("https://www.senado.gob.ar/parlamentario/comisiones/verExp/55.25/S/PL","55")</f>
        <v>55</v>
      </c>
      <c r="C845" s="3" t="str">
        <f>HYPERLINK("https://www.senado.gob.ar/parlamentario/comisiones/verExp/55.25/S/PL","2025")</f>
        <v>2025</v>
      </c>
      <c r="D845" s="2" t="s">
        <v>56</v>
      </c>
      <c r="E845" s="2" t="s">
        <v>1637</v>
      </c>
      <c r="F845" s="2" t="s">
        <v>1622</v>
      </c>
      <c r="I845" s="2" t="s">
        <v>1590</v>
      </c>
      <c r="K845" s="2" t="s">
        <v>44</v>
      </c>
      <c r="L845" s="2" t="s">
        <v>1280</v>
      </c>
      <c r="N845" s="2" t="s">
        <v>312</v>
      </c>
      <c r="O845" s="2">
        <v>62.0</v>
      </c>
      <c r="P845" s="2" t="s">
        <v>205</v>
      </c>
      <c r="Q845" s="2" t="s">
        <v>1594</v>
      </c>
      <c r="S845" s="2">
        <v>54.0</v>
      </c>
      <c r="T845" s="2" t="s">
        <v>65</v>
      </c>
      <c r="U845" s="2" t="s">
        <v>1594</v>
      </c>
      <c r="AI845" s="2" t="str">
        <f t="shared" si="18"/>
        <v/>
      </c>
      <c r="AJ845" s="2" t="s">
        <v>49</v>
      </c>
      <c r="AK845" s="2" t="s">
        <v>50</v>
      </c>
    </row>
    <row r="846" ht="15.75" customHeight="1">
      <c r="A846" s="2" t="s">
        <v>1141</v>
      </c>
      <c r="B846" s="3" t="str">
        <f>HYPERLINK("https://www.senado.gob.ar/parlamentario/comisiones/verExp/54.25/OV/CA","54")</f>
        <v>54</v>
      </c>
      <c r="C846" s="3" t="str">
        <f>HYPERLINK("https://www.senado.gob.ar/parlamentario/comisiones/verExp/54.25/OV/CA","2025")</f>
        <v>2025</v>
      </c>
      <c r="D846" s="2" t="s">
        <v>1219</v>
      </c>
      <c r="E846" s="2" t="s">
        <v>1638</v>
      </c>
      <c r="F846" s="2" t="s">
        <v>1604</v>
      </c>
      <c r="I846" s="2" t="s">
        <v>1122</v>
      </c>
      <c r="K846" s="2" t="s">
        <v>44</v>
      </c>
      <c r="L846" s="2" t="s">
        <v>1112</v>
      </c>
      <c r="O846" s="2">
        <v>100.0</v>
      </c>
      <c r="P846" s="2" t="s">
        <v>1146</v>
      </c>
      <c r="Q846" s="2" t="s">
        <v>1123</v>
      </c>
      <c r="AI846" s="2" t="str">
        <f t="shared" si="18"/>
        <v/>
      </c>
      <c r="AJ846" s="2" t="s">
        <v>49</v>
      </c>
      <c r="AK846" s="2" t="s">
        <v>50</v>
      </c>
    </row>
    <row r="847" ht="15.75" customHeight="1">
      <c r="A847" s="2" t="s">
        <v>1347</v>
      </c>
      <c r="B847" s="3" t="str">
        <f>HYPERLINK("https://www.senado.gob.ar/parlamentario/comisiones/verExp/54.25/PE/RP","54")</f>
        <v>54</v>
      </c>
      <c r="C847" s="3" t="str">
        <f>HYPERLINK("https://www.senado.gob.ar/parlamentario/comisiones/verExp/54.25/PE/RP","2025")</f>
        <v>2025</v>
      </c>
      <c r="D847" s="2" t="s">
        <v>1419</v>
      </c>
      <c r="E847" s="2" t="s">
        <v>1639</v>
      </c>
      <c r="F847" s="2" t="s">
        <v>602</v>
      </c>
      <c r="I847" s="2" t="s">
        <v>774</v>
      </c>
      <c r="K847" s="2" t="s">
        <v>44</v>
      </c>
      <c r="L847" s="2" t="s">
        <v>774</v>
      </c>
      <c r="O847" s="2">
        <v>75.0</v>
      </c>
      <c r="P847" s="2" t="s">
        <v>71</v>
      </c>
      <c r="Q847" s="2" t="s">
        <v>1631</v>
      </c>
      <c r="AI847" s="2" t="str">
        <f t="shared" si="18"/>
        <v/>
      </c>
      <c r="AJ847" s="2" t="s">
        <v>49</v>
      </c>
      <c r="AK847" s="2" t="s">
        <v>50</v>
      </c>
    </row>
    <row r="848" ht="15.75" customHeight="1">
      <c r="A848" s="2" t="s">
        <v>39</v>
      </c>
      <c r="B848" s="3" t="str">
        <f>HYPERLINK("https://www.senado.gob.ar/parlamentario/comisiones/verExp/54.25/S/PL","54")</f>
        <v>54</v>
      </c>
      <c r="C848" s="3" t="str">
        <f>HYPERLINK("https://www.senado.gob.ar/parlamentario/comisiones/verExp/54.25/S/PL","2025")</f>
        <v>2025</v>
      </c>
      <c r="D848" s="2" t="s">
        <v>56</v>
      </c>
      <c r="E848" s="2" t="s">
        <v>1640</v>
      </c>
      <c r="F848" s="2" t="s">
        <v>1622</v>
      </c>
      <c r="I848" s="2" t="s">
        <v>1590</v>
      </c>
      <c r="K848" s="2" t="s">
        <v>44</v>
      </c>
      <c r="L848" s="2" t="s">
        <v>1280</v>
      </c>
      <c r="N848" s="2" t="s">
        <v>312</v>
      </c>
      <c r="O848" s="2">
        <v>78.0</v>
      </c>
      <c r="P848" s="2" t="s">
        <v>73</v>
      </c>
      <c r="Q848" s="2" t="s">
        <v>1594</v>
      </c>
      <c r="S848" s="2">
        <v>61.0</v>
      </c>
      <c r="T848" s="2" t="s">
        <v>104</v>
      </c>
      <c r="U848" s="2" t="s">
        <v>1594</v>
      </c>
      <c r="AI848" s="2" t="str">
        <f t="shared" si="18"/>
        <v/>
      </c>
      <c r="AJ848" s="2" t="s">
        <v>49</v>
      </c>
      <c r="AK848" s="2" t="s">
        <v>50</v>
      </c>
    </row>
    <row r="849" ht="15.75" customHeight="1">
      <c r="A849" s="2" t="s">
        <v>1141</v>
      </c>
      <c r="B849" s="3" t="str">
        <f>HYPERLINK("https://www.senado.gob.ar/parlamentario/comisiones/verExp/53.25/OV/CA","53")</f>
        <v>53</v>
      </c>
      <c r="C849" s="3" t="str">
        <f>HYPERLINK("https://www.senado.gob.ar/parlamentario/comisiones/verExp/53.25/OV/CA","2025")</f>
        <v>2025</v>
      </c>
      <c r="D849" s="2" t="s">
        <v>1219</v>
      </c>
      <c r="E849" s="2" t="s">
        <v>1641</v>
      </c>
      <c r="F849" s="2" t="s">
        <v>1604</v>
      </c>
      <c r="I849" s="2" t="s">
        <v>1122</v>
      </c>
      <c r="K849" s="2" t="s">
        <v>44</v>
      </c>
      <c r="L849" s="2" t="s">
        <v>1112</v>
      </c>
      <c r="O849" s="2">
        <v>100.0</v>
      </c>
      <c r="P849" s="2" t="s">
        <v>1146</v>
      </c>
      <c r="Q849" s="2" t="s">
        <v>1123</v>
      </c>
      <c r="AI849" s="2" t="str">
        <f t="shared" si="18"/>
        <v/>
      </c>
      <c r="AJ849" s="2" t="s">
        <v>49</v>
      </c>
      <c r="AK849" s="2" t="s">
        <v>50</v>
      </c>
    </row>
    <row r="850" ht="15.75" customHeight="1">
      <c r="A850" s="2" t="s">
        <v>1347</v>
      </c>
      <c r="B850" s="3" t="str">
        <f>HYPERLINK("https://www.senado.gob.ar/parlamentario/comisiones/verExp/53.25/PE/RP","53")</f>
        <v>53</v>
      </c>
      <c r="C850" s="3" t="str">
        <f>HYPERLINK("https://www.senado.gob.ar/parlamentario/comisiones/verExp/53.25/PE/RP","2025")</f>
        <v>2025</v>
      </c>
      <c r="D850" s="2" t="s">
        <v>1419</v>
      </c>
      <c r="E850" s="2" t="s">
        <v>1642</v>
      </c>
      <c r="F850" s="2" t="s">
        <v>602</v>
      </c>
      <c r="I850" s="2" t="s">
        <v>774</v>
      </c>
      <c r="K850" s="2" t="s">
        <v>44</v>
      </c>
      <c r="L850" s="2" t="s">
        <v>774</v>
      </c>
      <c r="O850" s="2">
        <v>75.0</v>
      </c>
      <c r="P850" s="2" t="s">
        <v>71</v>
      </c>
      <c r="Q850" s="2" t="s">
        <v>1631</v>
      </c>
      <c r="AI850" s="2" t="str">
        <f t="shared" si="18"/>
        <v/>
      </c>
      <c r="AJ850" s="2" t="s">
        <v>49</v>
      </c>
      <c r="AK850" s="2" t="s">
        <v>50</v>
      </c>
    </row>
    <row r="851" ht="15.75" customHeight="1">
      <c r="A851" s="2" t="s">
        <v>39</v>
      </c>
      <c r="B851" s="3" t="str">
        <f>HYPERLINK("https://www.senado.gob.ar/parlamentario/comisiones/verExp/53.25/S/PL","53")</f>
        <v>53</v>
      </c>
      <c r="C851" s="3" t="str">
        <f>HYPERLINK("https://www.senado.gob.ar/parlamentario/comisiones/verExp/53.25/S/PL","2025")</f>
        <v>2025</v>
      </c>
      <c r="D851" s="2" t="s">
        <v>56</v>
      </c>
      <c r="E851" s="2" t="s">
        <v>1643</v>
      </c>
      <c r="F851" s="2" t="s">
        <v>1622</v>
      </c>
      <c r="I851" s="2" t="s">
        <v>1590</v>
      </c>
      <c r="K851" s="2" t="s">
        <v>44</v>
      </c>
      <c r="L851" s="2" t="s">
        <v>1280</v>
      </c>
      <c r="N851" s="2" t="s">
        <v>312</v>
      </c>
      <c r="O851" s="2">
        <v>53.0</v>
      </c>
      <c r="P851" s="2" t="s">
        <v>76</v>
      </c>
      <c r="Q851" s="2" t="s">
        <v>1594</v>
      </c>
      <c r="S851" s="2">
        <v>70.0</v>
      </c>
      <c r="T851" s="2" t="s">
        <v>166</v>
      </c>
      <c r="U851" s="2" t="s">
        <v>1594</v>
      </c>
      <c r="AI851" s="2" t="str">
        <f t="shared" si="18"/>
        <v/>
      </c>
      <c r="AJ851" s="2" t="s">
        <v>49</v>
      </c>
      <c r="AK851" s="2" t="s">
        <v>50</v>
      </c>
    </row>
    <row r="852" ht="15.75" customHeight="1">
      <c r="A852" s="2" t="s">
        <v>1141</v>
      </c>
      <c r="B852" s="3" t="str">
        <f>HYPERLINK("https://www.senado.gob.ar/parlamentario/comisiones/verExp/52.25/OV/CA","52")</f>
        <v>52</v>
      </c>
      <c r="C852" s="3" t="str">
        <f>HYPERLINK("https://www.senado.gob.ar/parlamentario/comisiones/verExp/52.25/OV/CA","2025")</f>
        <v>2025</v>
      </c>
      <c r="D852" s="2" t="s">
        <v>1219</v>
      </c>
      <c r="E852" s="2" t="s">
        <v>1644</v>
      </c>
      <c r="F852" s="2" t="s">
        <v>1604</v>
      </c>
      <c r="I852" s="2" t="s">
        <v>1122</v>
      </c>
      <c r="K852" s="2" t="s">
        <v>44</v>
      </c>
      <c r="L852" s="2" t="s">
        <v>1112</v>
      </c>
      <c r="O852" s="2">
        <v>100.0</v>
      </c>
      <c r="P852" s="2" t="s">
        <v>1146</v>
      </c>
      <c r="Q852" s="2" t="s">
        <v>1123</v>
      </c>
      <c r="AI852" s="2" t="str">
        <f t="shared" si="18"/>
        <v/>
      </c>
      <c r="AJ852" s="2" t="s">
        <v>49</v>
      </c>
      <c r="AK852" s="2" t="s">
        <v>50</v>
      </c>
    </row>
    <row r="853" ht="15.75" customHeight="1">
      <c r="A853" s="2" t="s">
        <v>1347</v>
      </c>
      <c r="B853" s="3" t="str">
        <f>HYPERLINK("https://www.senado.gob.ar/parlamentario/comisiones/verExp/52.25/PE/RP","52")</f>
        <v>52</v>
      </c>
      <c r="C853" s="3" t="str">
        <f>HYPERLINK("https://www.senado.gob.ar/parlamentario/comisiones/verExp/52.25/PE/RP","2025")</f>
        <v>2025</v>
      </c>
      <c r="D853" s="2" t="s">
        <v>1419</v>
      </c>
      <c r="E853" s="2" t="s">
        <v>1645</v>
      </c>
      <c r="F853" s="2" t="s">
        <v>602</v>
      </c>
      <c r="H853" s="2" t="s">
        <v>766</v>
      </c>
      <c r="I853" s="2" t="s">
        <v>774</v>
      </c>
      <c r="K853" s="2" t="s">
        <v>44</v>
      </c>
      <c r="L853" s="2" t="s">
        <v>774</v>
      </c>
      <c r="O853" s="2">
        <v>55.0</v>
      </c>
      <c r="P853" s="2" t="s">
        <v>336</v>
      </c>
      <c r="Q853" s="2" t="s">
        <v>1631</v>
      </c>
      <c r="AI853" s="2" t="str">
        <f t="shared" si="18"/>
        <v/>
      </c>
      <c r="AJ853" s="2" t="s">
        <v>49</v>
      </c>
      <c r="AK853" s="2" t="s">
        <v>50</v>
      </c>
      <c r="AM853" s="2" t="s">
        <v>766</v>
      </c>
    </row>
    <row r="854" ht="15.75" customHeight="1">
      <c r="A854" s="2" t="s">
        <v>39</v>
      </c>
      <c r="B854" s="3" t="str">
        <f>HYPERLINK("https://www.senado.gob.ar/parlamentario/comisiones/verExp/52.25/S/PL","52")</f>
        <v>52</v>
      </c>
      <c r="C854" s="3" t="str">
        <f>HYPERLINK("https://www.senado.gob.ar/parlamentario/comisiones/verExp/52.25/S/PL","2025")</f>
        <v>2025</v>
      </c>
      <c r="D854" s="2" t="s">
        <v>56</v>
      </c>
      <c r="E854" s="2" t="s">
        <v>1646</v>
      </c>
      <c r="F854" s="2" t="s">
        <v>1622</v>
      </c>
      <c r="I854" s="2" t="s">
        <v>1590</v>
      </c>
      <c r="K854" s="2" t="s">
        <v>44</v>
      </c>
      <c r="L854" s="2" t="s">
        <v>1280</v>
      </c>
      <c r="N854" s="2" t="s">
        <v>312</v>
      </c>
      <c r="O854" s="2">
        <v>78.0</v>
      </c>
      <c r="P854" s="2" t="s">
        <v>73</v>
      </c>
      <c r="Q854" s="2" t="s">
        <v>1594</v>
      </c>
      <c r="S854" s="2">
        <v>61.0</v>
      </c>
      <c r="T854" s="2" t="s">
        <v>104</v>
      </c>
      <c r="U854" s="2" t="s">
        <v>1594</v>
      </c>
      <c r="AI854" s="2" t="str">
        <f t="shared" si="18"/>
        <v/>
      </c>
      <c r="AJ854" s="2" t="s">
        <v>49</v>
      </c>
      <c r="AK854" s="2" t="s">
        <v>50</v>
      </c>
    </row>
    <row r="855" ht="15.75" customHeight="1">
      <c r="A855" s="2" t="s">
        <v>1141</v>
      </c>
      <c r="B855" s="3" t="str">
        <f>HYPERLINK("https://www.senado.gob.ar/parlamentario/comisiones/verExp/51.25/OV/CA","51")</f>
        <v>51</v>
      </c>
      <c r="C855" s="3" t="str">
        <f>HYPERLINK("https://www.senado.gob.ar/parlamentario/comisiones/verExp/51.25/OV/CA","2025")</f>
        <v>2025</v>
      </c>
      <c r="D855" s="2" t="s">
        <v>1219</v>
      </c>
      <c r="E855" s="2" t="s">
        <v>1647</v>
      </c>
      <c r="F855" s="2" t="s">
        <v>1604</v>
      </c>
      <c r="I855" s="2" t="s">
        <v>1122</v>
      </c>
      <c r="K855" s="2" t="s">
        <v>44</v>
      </c>
      <c r="L855" s="2" t="s">
        <v>1112</v>
      </c>
      <c r="O855" s="2">
        <v>100.0</v>
      </c>
      <c r="P855" s="2" t="s">
        <v>1146</v>
      </c>
      <c r="Q855" s="2" t="s">
        <v>1123</v>
      </c>
      <c r="AI855" s="2" t="str">
        <f t="shared" si="18"/>
        <v/>
      </c>
      <c r="AJ855" s="2" t="s">
        <v>49</v>
      </c>
      <c r="AK855" s="2" t="s">
        <v>50</v>
      </c>
    </row>
    <row r="856" ht="15.75" customHeight="1">
      <c r="A856" s="2" t="s">
        <v>39</v>
      </c>
      <c r="B856" s="3" t="str">
        <f>HYPERLINK("https://www.senado.gob.ar/parlamentario/comisiones/verExp/51.25/S/PL","51")</f>
        <v>51</v>
      </c>
      <c r="C856" s="3" t="str">
        <f>HYPERLINK("https://www.senado.gob.ar/parlamentario/comisiones/verExp/51.25/S/PL","2025")</f>
        <v>2025</v>
      </c>
      <c r="D856" s="2" t="s">
        <v>56</v>
      </c>
      <c r="E856" s="2" t="s">
        <v>1648</v>
      </c>
      <c r="F856" s="2" t="s">
        <v>1622</v>
      </c>
      <c r="I856" s="2" t="s">
        <v>1590</v>
      </c>
      <c r="K856" s="2" t="s">
        <v>44</v>
      </c>
      <c r="L856" s="2" t="s">
        <v>1280</v>
      </c>
      <c r="N856" s="2" t="s">
        <v>312</v>
      </c>
      <c r="O856" s="2">
        <v>78.0</v>
      </c>
      <c r="P856" s="2" t="s">
        <v>73</v>
      </c>
      <c r="Q856" s="2" t="s">
        <v>1594</v>
      </c>
      <c r="S856" s="2">
        <v>75.0</v>
      </c>
      <c r="T856" s="2" t="s">
        <v>71</v>
      </c>
      <c r="U856" s="2" t="s">
        <v>1594</v>
      </c>
      <c r="AI856" s="2" t="str">
        <f t="shared" si="18"/>
        <v/>
      </c>
      <c r="AJ856" s="2" t="s">
        <v>49</v>
      </c>
      <c r="AK856" s="2" t="s">
        <v>50</v>
      </c>
    </row>
    <row r="857" ht="15.75" customHeight="1">
      <c r="A857" s="2" t="s">
        <v>1141</v>
      </c>
      <c r="B857" s="3" t="str">
        <f>HYPERLINK("https://www.senado.gob.ar/parlamentario/comisiones/verExp/50.25/OV/CA","50")</f>
        <v>50</v>
      </c>
      <c r="C857" s="3" t="str">
        <f>HYPERLINK("https://www.senado.gob.ar/parlamentario/comisiones/verExp/50.25/OV/CA","2025")</f>
        <v>2025</v>
      </c>
      <c r="D857" s="2" t="s">
        <v>1219</v>
      </c>
      <c r="E857" s="2" t="s">
        <v>1649</v>
      </c>
      <c r="F857" s="2" t="s">
        <v>1604</v>
      </c>
      <c r="I857" s="2" t="s">
        <v>1122</v>
      </c>
      <c r="K857" s="2" t="s">
        <v>44</v>
      </c>
      <c r="L857" s="2" t="s">
        <v>1112</v>
      </c>
      <c r="O857" s="2">
        <v>100.0</v>
      </c>
      <c r="P857" s="2" t="s">
        <v>1146</v>
      </c>
      <c r="Q857" s="2" t="s">
        <v>1123</v>
      </c>
      <c r="AI857" s="2" t="str">
        <f t="shared" si="18"/>
        <v/>
      </c>
      <c r="AJ857" s="2" t="s">
        <v>49</v>
      </c>
      <c r="AK857" s="2" t="s">
        <v>50</v>
      </c>
    </row>
    <row r="858" ht="15.75" customHeight="1">
      <c r="A858" s="2" t="s">
        <v>39</v>
      </c>
      <c r="B858" s="3" t="str">
        <f>HYPERLINK("https://www.senado.gob.ar/parlamentario/comisiones/verExp/50.25/S/PL","50")</f>
        <v>50</v>
      </c>
      <c r="C858" s="3" t="str">
        <f>HYPERLINK("https://www.senado.gob.ar/parlamentario/comisiones/verExp/50.25/S/PL","2025")</f>
        <v>2025</v>
      </c>
      <c r="D858" s="2" t="s">
        <v>56</v>
      </c>
      <c r="E858" s="2" t="s">
        <v>1650</v>
      </c>
      <c r="F858" s="2" t="s">
        <v>1622</v>
      </c>
      <c r="I858" s="2" t="s">
        <v>1590</v>
      </c>
      <c r="K858" s="2" t="s">
        <v>44</v>
      </c>
      <c r="L858" s="2" t="s">
        <v>1280</v>
      </c>
      <c r="N858" s="2" t="s">
        <v>312</v>
      </c>
      <c r="O858" s="2">
        <v>62.0</v>
      </c>
      <c r="P858" s="2" t="s">
        <v>205</v>
      </c>
      <c r="Q858" s="2" t="s">
        <v>1594</v>
      </c>
      <c r="S858" s="2">
        <v>54.0</v>
      </c>
      <c r="T858" s="2" t="s">
        <v>65</v>
      </c>
      <c r="U858" s="2" t="s">
        <v>1594</v>
      </c>
      <c r="AI858" s="2" t="str">
        <f t="shared" si="18"/>
        <v/>
      </c>
      <c r="AJ858" s="2" t="s">
        <v>49</v>
      </c>
      <c r="AK858" s="2" t="s">
        <v>50</v>
      </c>
    </row>
    <row r="859" ht="15.75" customHeight="1">
      <c r="A859" s="2" t="s">
        <v>1141</v>
      </c>
      <c r="B859" s="3" t="str">
        <f>HYPERLINK("https://www.senado.gob.ar/parlamentario/comisiones/verExp/49.25/OV/CA","49")</f>
        <v>49</v>
      </c>
      <c r="C859" s="3" t="str">
        <f>HYPERLINK("https://www.senado.gob.ar/parlamentario/comisiones/verExp/49.25/OV/CA","2025")</f>
        <v>2025</v>
      </c>
      <c r="D859" s="2" t="s">
        <v>1219</v>
      </c>
      <c r="E859" s="2" t="s">
        <v>1651</v>
      </c>
      <c r="F859" s="2" t="s">
        <v>1604</v>
      </c>
      <c r="I859" s="2" t="s">
        <v>1122</v>
      </c>
      <c r="K859" s="2" t="s">
        <v>44</v>
      </c>
      <c r="L859" s="2" t="s">
        <v>1112</v>
      </c>
      <c r="O859" s="2">
        <v>100.0</v>
      </c>
      <c r="P859" s="2" t="s">
        <v>1146</v>
      </c>
      <c r="Q859" s="2" t="s">
        <v>1123</v>
      </c>
      <c r="AI859" s="2" t="str">
        <f t="shared" si="18"/>
        <v/>
      </c>
      <c r="AJ859" s="2" t="s">
        <v>49</v>
      </c>
      <c r="AK859" s="2" t="s">
        <v>50</v>
      </c>
    </row>
    <row r="860" ht="15.75" customHeight="1">
      <c r="A860" s="2" t="s">
        <v>1347</v>
      </c>
      <c r="B860" s="3" t="str">
        <f>HYPERLINK("https://www.senado.gob.ar/parlamentario/comisiones/verExp/49.25/PE/DC","49")</f>
        <v>49</v>
      </c>
      <c r="C860" s="3" t="str">
        <f>HYPERLINK("https://www.senado.gob.ar/parlamentario/comisiones/verExp/49.25/PE/DC","2025")</f>
        <v>2025</v>
      </c>
      <c r="D860" s="2" t="s">
        <v>1348</v>
      </c>
      <c r="E860" s="2" t="s">
        <v>1652</v>
      </c>
      <c r="F860" s="2" t="s">
        <v>799</v>
      </c>
      <c r="I860" s="2" t="s">
        <v>800</v>
      </c>
      <c r="K860" s="2" t="s">
        <v>44</v>
      </c>
      <c r="L860" s="2" t="s">
        <v>800</v>
      </c>
      <c r="O860" s="2">
        <v>105.0</v>
      </c>
      <c r="P860" s="2" t="s">
        <v>1350</v>
      </c>
      <c r="Q860" s="2" t="s">
        <v>879</v>
      </c>
      <c r="AI860" s="2" t="str">
        <f t="shared" si="18"/>
        <v/>
      </c>
      <c r="AJ860" s="2" t="s">
        <v>49</v>
      </c>
      <c r="AK860" s="2" t="s">
        <v>50</v>
      </c>
    </row>
    <row r="861" ht="15.75" customHeight="1">
      <c r="A861" s="2" t="s">
        <v>39</v>
      </c>
      <c r="B861" s="3" t="str">
        <f>HYPERLINK("https://www.senado.gob.ar/parlamentario/comisiones/verExp/49.25/S/PL","49")</f>
        <v>49</v>
      </c>
      <c r="C861" s="3" t="str">
        <f>HYPERLINK("https://www.senado.gob.ar/parlamentario/comisiones/verExp/49.25/S/PL","2025")</f>
        <v>2025</v>
      </c>
      <c r="D861" s="2" t="s">
        <v>56</v>
      </c>
      <c r="E861" s="2" t="s">
        <v>1653</v>
      </c>
      <c r="F861" s="2" t="s">
        <v>1622</v>
      </c>
      <c r="I861" s="2" t="s">
        <v>1590</v>
      </c>
      <c r="K861" s="2" t="s">
        <v>44</v>
      </c>
      <c r="L861" s="2" t="s">
        <v>1280</v>
      </c>
      <c r="N861" s="2" t="s">
        <v>312</v>
      </c>
      <c r="O861" s="2">
        <v>53.0</v>
      </c>
      <c r="P861" s="2" t="s">
        <v>76</v>
      </c>
      <c r="Q861" s="2" t="s">
        <v>1594</v>
      </c>
      <c r="S861" s="2">
        <v>74.0</v>
      </c>
      <c r="T861" s="2" t="s">
        <v>256</v>
      </c>
      <c r="U861" s="2" t="s">
        <v>1594</v>
      </c>
      <c r="W861" s="2">
        <v>54.0</v>
      </c>
      <c r="X861" s="2" t="s">
        <v>65</v>
      </c>
      <c r="Y861" s="2" t="s">
        <v>1594</v>
      </c>
      <c r="AI861" s="2" t="str">
        <f t="shared" si="18"/>
        <v/>
      </c>
      <c r="AJ861" s="2" t="s">
        <v>49</v>
      </c>
      <c r="AK861" s="2" t="s">
        <v>50</v>
      </c>
    </row>
    <row r="862" ht="15.75" customHeight="1">
      <c r="A862" s="2" t="s">
        <v>1141</v>
      </c>
      <c r="B862" s="3" t="str">
        <f>HYPERLINK("https://www.senado.gob.ar/parlamentario/comisiones/verExp/48.25/OV/CA","48")</f>
        <v>48</v>
      </c>
      <c r="C862" s="3" t="str">
        <f>HYPERLINK("https://www.senado.gob.ar/parlamentario/comisiones/verExp/48.25/OV/CA","2025")</f>
        <v>2025</v>
      </c>
      <c r="D862" s="2" t="s">
        <v>1219</v>
      </c>
      <c r="E862" s="2" t="s">
        <v>1654</v>
      </c>
      <c r="F862" s="2" t="s">
        <v>1604</v>
      </c>
      <c r="I862" s="2" t="s">
        <v>1122</v>
      </c>
      <c r="K862" s="2" t="s">
        <v>44</v>
      </c>
      <c r="L862" s="2" t="s">
        <v>1112</v>
      </c>
      <c r="O862" s="2">
        <v>100.0</v>
      </c>
      <c r="P862" s="2" t="s">
        <v>1146</v>
      </c>
      <c r="Q862" s="2" t="s">
        <v>1123</v>
      </c>
      <c r="AI862" s="2" t="str">
        <f t="shared" si="18"/>
        <v/>
      </c>
      <c r="AJ862" s="2" t="s">
        <v>49</v>
      </c>
      <c r="AK862" s="2" t="s">
        <v>50</v>
      </c>
    </row>
    <row r="863" ht="15.75" customHeight="1">
      <c r="A863" s="2" t="s">
        <v>1347</v>
      </c>
      <c r="B863" s="3" t="str">
        <f>HYPERLINK("https://www.senado.gob.ar/parlamentario/comisiones/verExp/48.25/PE/DC","48")</f>
        <v>48</v>
      </c>
      <c r="C863" s="3" t="str">
        <f>HYPERLINK("https://www.senado.gob.ar/parlamentario/comisiones/verExp/48.25/PE/DC","2025")</f>
        <v>2025</v>
      </c>
      <c r="D863" s="2" t="s">
        <v>1348</v>
      </c>
      <c r="E863" s="2" t="s">
        <v>1655</v>
      </c>
      <c r="F863" s="2" t="s">
        <v>799</v>
      </c>
      <c r="I863" s="2" t="s">
        <v>807</v>
      </c>
      <c r="K863" s="2" t="s">
        <v>44</v>
      </c>
      <c r="L863" s="2" t="s">
        <v>807</v>
      </c>
      <c r="O863" s="2">
        <v>105.0</v>
      </c>
      <c r="P863" s="2" t="s">
        <v>1350</v>
      </c>
      <c r="Q863" s="2" t="s">
        <v>1656</v>
      </c>
      <c r="AI863" s="2" t="str">
        <f t="shared" si="18"/>
        <v/>
      </c>
      <c r="AJ863" s="2" t="s">
        <v>49</v>
      </c>
      <c r="AK863" s="2" t="s">
        <v>50</v>
      </c>
    </row>
    <row r="864" ht="15.75" customHeight="1">
      <c r="A864" s="2" t="s">
        <v>39</v>
      </c>
      <c r="B864" s="3" t="str">
        <f>HYPERLINK("https://www.senado.gob.ar/parlamentario/comisiones/verExp/48.25/S/PL","48")</f>
        <v>48</v>
      </c>
      <c r="C864" s="3" t="str">
        <f>HYPERLINK("https://www.senado.gob.ar/parlamentario/comisiones/verExp/48.25/S/PL","2025")</f>
        <v>2025</v>
      </c>
      <c r="D864" s="2" t="s">
        <v>56</v>
      </c>
      <c r="E864" s="2" t="s">
        <v>1657</v>
      </c>
      <c r="F864" s="2" t="s">
        <v>1622</v>
      </c>
      <c r="I864" s="2" t="s">
        <v>1590</v>
      </c>
      <c r="K864" s="2" t="s">
        <v>44</v>
      </c>
      <c r="L864" s="2" t="s">
        <v>1280</v>
      </c>
      <c r="N864" s="2" t="s">
        <v>312</v>
      </c>
      <c r="O864" s="2">
        <v>54.0</v>
      </c>
      <c r="P864" s="2" t="s">
        <v>65</v>
      </c>
      <c r="Q864" s="2" t="s">
        <v>1594</v>
      </c>
      <c r="AI864" s="2" t="str">
        <f t="shared" si="18"/>
        <v/>
      </c>
      <c r="AJ864" s="2" t="s">
        <v>49</v>
      </c>
      <c r="AK864" s="2" t="s">
        <v>50</v>
      </c>
    </row>
    <row r="865" ht="15.75" customHeight="1">
      <c r="A865" s="2" t="s">
        <v>1141</v>
      </c>
      <c r="B865" s="3" t="str">
        <f>HYPERLINK("https://www.senado.gob.ar/parlamentario/comisiones/verExp/47.25/OV/CA","47")</f>
        <v>47</v>
      </c>
      <c r="C865" s="3" t="str">
        <f>HYPERLINK("https://www.senado.gob.ar/parlamentario/comisiones/verExp/47.25/OV/CA","2025")</f>
        <v>2025</v>
      </c>
      <c r="D865" s="2" t="s">
        <v>1219</v>
      </c>
      <c r="E865" s="2" t="s">
        <v>1658</v>
      </c>
      <c r="F865" s="2" t="s">
        <v>1604</v>
      </c>
      <c r="I865" s="2" t="s">
        <v>1122</v>
      </c>
      <c r="K865" s="2" t="s">
        <v>44</v>
      </c>
      <c r="L865" s="2" t="s">
        <v>1112</v>
      </c>
      <c r="O865" s="2">
        <v>100.0</v>
      </c>
      <c r="P865" s="2" t="s">
        <v>1146</v>
      </c>
      <c r="Q865" s="2" t="s">
        <v>1123</v>
      </c>
      <c r="AI865" s="2" t="str">
        <f t="shared" si="18"/>
        <v/>
      </c>
      <c r="AJ865" s="2" t="s">
        <v>49</v>
      </c>
      <c r="AK865" s="2" t="s">
        <v>50</v>
      </c>
    </row>
    <row r="866" ht="15.75" customHeight="1">
      <c r="A866" s="2" t="s">
        <v>1347</v>
      </c>
      <c r="B866" s="3" t="str">
        <f>HYPERLINK("https://www.senado.gob.ar/parlamentario/comisiones/verExp/47.25/PE/DC","47")</f>
        <v>47</v>
      </c>
      <c r="C866" s="3" t="str">
        <f>HYPERLINK("https://www.senado.gob.ar/parlamentario/comisiones/verExp/47.25/PE/DC","2025")</f>
        <v>2025</v>
      </c>
      <c r="D866" s="2" t="s">
        <v>1348</v>
      </c>
      <c r="E866" s="2" t="s">
        <v>1659</v>
      </c>
      <c r="F866" s="2" t="s">
        <v>799</v>
      </c>
      <c r="I866" s="2" t="s">
        <v>807</v>
      </c>
      <c r="K866" s="2" t="s">
        <v>44</v>
      </c>
      <c r="L866" s="2" t="s">
        <v>807</v>
      </c>
      <c r="O866" s="2">
        <v>105.0</v>
      </c>
      <c r="P866" s="2" t="s">
        <v>1350</v>
      </c>
      <c r="Q866" s="2" t="s">
        <v>1656</v>
      </c>
      <c r="AI866" s="2" t="str">
        <f t="shared" si="18"/>
        <v/>
      </c>
      <c r="AJ866" s="2" t="s">
        <v>49</v>
      </c>
      <c r="AK866" s="2" t="s">
        <v>50</v>
      </c>
    </row>
    <row r="867" ht="15.75" customHeight="1">
      <c r="A867" s="2" t="s">
        <v>39</v>
      </c>
      <c r="B867" s="3" t="str">
        <f>HYPERLINK("https://www.senado.gob.ar/parlamentario/comisiones/verExp/47.25/S/PL","47")</f>
        <v>47</v>
      </c>
      <c r="C867" s="3" t="str">
        <f>HYPERLINK("https://www.senado.gob.ar/parlamentario/comisiones/verExp/47.25/S/PL","2025")</f>
        <v>2025</v>
      </c>
      <c r="D867" s="2" t="s">
        <v>56</v>
      </c>
      <c r="E867" s="2" t="s">
        <v>1660</v>
      </c>
      <c r="F867" s="2" t="s">
        <v>1622</v>
      </c>
      <c r="I867" s="2" t="s">
        <v>1590</v>
      </c>
      <c r="K867" s="2" t="s">
        <v>44</v>
      </c>
      <c r="L867" s="2" t="s">
        <v>1280</v>
      </c>
      <c r="N867" s="2" t="s">
        <v>312</v>
      </c>
      <c r="O867" s="2">
        <v>75.0</v>
      </c>
      <c r="P867" s="2" t="s">
        <v>71</v>
      </c>
      <c r="Q867" s="2" t="s">
        <v>1594</v>
      </c>
      <c r="S867" s="2">
        <v>68.0</v>
      </c>
      <c r="T867" s="2" t="s">
        <v>180</v>
      </c>
      <c r="U867" s="2" t="s">
        <v>1594</v>
      </c>
      <c r="W867" s="2">
        <v>54.0</v>
      </c>
      <c r="X867" s="2" t="s">
        <v>65</v>
      </c>
      <c r="Y867" s="2" t="s">
        <v>1594</v>
      </c>
      <c r="AI867" s="2" t="str">
        <f t="shared" si="18"/>
        <v/>
      </c>
      <c r="AJ867" s="2" t="s">
        <v>49</v>
      </c>
      <c r="AK867" s="2" t="s">
        <v>50</v>
      </c>
    </row>
    <row r="868" ht="15.75" customHeight="1">
      <c r="A868" s="2" t="s">
        <v>1141</v>
      </c>
      <c r="B868" s="3" t="str">
        <f>HYPERLINK("https://www.senado.gob.ar/parlamentario/comisiones/verExp/46.25/OV/CA","46")</f>
        <v>46</v>
      </c>
      <c r="C868" s="3" t="str">
        <f>HYPERLINK("https://www.senado.gob.ar/parlamentario/comisiones/verExp/46.25/OV/CA","2025")</f>
        <v>2025</v>
      </c>
      <c r="D868" s="2" t="s">
        <v>1219</v>
      </c>
      <c r="E868" s="2" t="s">
        <v>1661</v>
      </c>
      <c r="F868" s="2" t="s">
        <v>1604</v>
      </c>
      <c r="I868" s="2" t="s">
        <v>1122</v>
      </c>
      <c r="K868" s="2" t="s">
        <v>44</v>
      </c>
      <c r="L868" s="2" t="s">
        <v>1112</v>
      </c>
      <c r="O868" s="2">
        <v>100.0</v>
      </c>
      <c r="P868" s="2" t="s">
        <v>1146</v>
      </c>
      <c r="Q868" s="2" t="s">
        <v>1123</v>
      </c>
      <c r="AI868" s="2" t="str">
        <f t="shared" si="18"/>
        <v/>
      </c>
      <c r="AJ868" s="2" t="s">
        <v>49</v>
      </c>
      <c r="AK868" s="2" t="s">
        <v>50</v>
      </c>
    </row>
    <row r="869" ht="15.75" customHeight="1">
      <c r="A869" s="2" t="s">
        <v>1347</v>
      </c>
      <c r="B869" s="3" t="str">
        <f>HYPERLINK("https://www.senado.gob.ar/parlamentario/comisiones/verExp/46.25/PE/DC","46")</f>
        <v>46</v>
      </c>
      <c r="C869" s="3" t="str">
        <f>HYPERLINK("https://www.senado.gob.ar/parlamentario/comisiones/verExp/46.25/PE/DC","2025")</f>
        <v>2025</v>
      </c>
      <c r="D869" s="2" t="s">
        <v>1348</v>
      </c>
      <c r="E869" s="2" t="s">
        <v>1662</v>
      </c>
      <c r="F869" s="2" t="s">
        <v>824</v>
      </c>
      <c r="I869" s="2" t="s">
        <v>822</v>
      </c>
      <c r="K869" s="2" t="s">
        <v>44</v>
      </c>
      <c r="L869" s="2" t="s">
        <v>822</v>
      </c>
      <c r="O869" s="2">
        <v>105.0</v>
      </c>
      <c r="P869" s="2" t="s">
        <v>1350</v>
      </c>
      <c r="Q869" s="2" t="s">
        <v>1555</v>
      </c>
      <c r="AI869" s="2" t="str">
        <f t="shared" si="18"/>
        <v/>
      </c>
      <c r="AJ869" s="2" t="s">
        <v>49</v>
      </c>
      <c r="AK869" s="2" t="s">
        <v>50</v>
      </c>
    </row>
    <row r="870" ht="15.75" customHeight="1">
      <c r="A870" s="2" t="s">
        <v>39</v>
      </c>
      <c r="B870" s="3" t="str">
        <f>HYPERLINK("https://www.senado.gob.ar/parlamentario/comisiones/verExp/46.25/S/PL","46")</f>
        <v>46</v>
      </c>
      <c r="C870" s="3" t="str">
        <f>HYPERLINK("https://www.senado.gob.ar/parlamentario/comisiones/verExp/46.25/S/PL","2025")</f>
        <v>2025</v>
      </c>
      <c r="D870" s="2" t="s">
        <v>56</v>
      </c>
      <c r="E870" s="2" t="s">
        <v>1663</v>
      </c>
      <c r="F870" s="2" t="s">
        <v>1622</v>
      </c>
      <c r="I870" s="2" t="s">
        <v>1590</v>
      </c>
      <c r="K870" s="2" t="s">
        <v>44</v>
      </c>
      <c r="L870" s="2" t="s">
        <v>1280</v>
      </c>
      <c r="N870" s="2" t="s">
        <v>312</v>
      </c>
      <c r="O870" s="2">
        <v>50.0</v>
      </c>
      <c r="P870" s="2" t="s">
        <v>47</v>
      </c>
      <c r="Q870" s="2" t="s">
        <v>1594</v>
      </c>
      <c r="S870" s="2">
        <v>54.0</v>
      </c>
      <c r="T870" s="2" t="s">
        <v>65</v>
      </c>
      <c r="U870" s="2" t="s">
        <v>1594</v>
      </c>
      <c r="AI870" s="2" t="str">
        <f t="shared" si="18"/>
        <v/>
      </c>
      <c r="AJ870" s="2" t="s">
        <v>49</v>
      </c>
      <c r="AK870" s="2" t="s">
        <v>50</v>
      </c>
    </row>
    <row r="871" ht="15.75" customHeight="1">
      <c r="A871" s="2" t="s">
        <v>1141</v>
      </c>
      <c r="B871" s="3" t="str">
        <f>HYPERLINK("https://www.senado.gob.ar/parlamentario/comisiones/verExp/45.25/OV/CA","45")</f>
        <v>45</v>
      </c>
      <c r="C871" s="3" t="str">
        <f>HYPERLINK("https://www.senado.gob.ar/parlamentario/comisiones/verExp/45.25/OV/CA","2025")</f>
        <v>2025</v>
      </c>
      <c r="D871" s="2" t="s">
        <v>1219</v>
      </c>
      <c r="E871" s="2" t="s">
        <v>1664</v>
      </c>
      <c r="F871" s="2" t="s">
        <v>1604</v>
      </c>
      <c r="I871" s="2" t="s">
        <v>1122</v>
      </c>
      <c r="K871" s="2" t="s">
        <v>44</v>
      </c>
      <c r="L871" s="2" t="s">
        <v>1112</v>
      </c>
      <c r="O871" s="2">
        <v>100.0</v>
      </c>
      <c r="P871" s="2" t="s">
        <v>1146</v>
      </c>
      <c r="Q871" s="2" t="s">
        <v>1123</v>
      </c>
      <c r="AI871" s="2" t="str">
        <f t="shared" si="18"/>
        <v/>
      </c>
      <c r="AJ871" s="2" t="s">
        <v>49</v>
      </c>
      <c r="AK871" s="2" t="s">
        <v>50</v>
      </c>
    </row>
    <row r="872" ht="15.75" customHeight="1">
      <c r="A872" s="2" t="s">
        <v>39</v>
      </c>
      <c r="B872" s="3" t="str">
        <f>HYPERLINK("https://www.senado.gob.ar/parlamentario/comisiones/verExp/45.25/S/PL","45")</f>
        <v>45</v>
      </c>
      <c r="C872" s="3" t="str">
        <f>HYPERLINK("https://www.senado.gob.ar/parlamentario/comisiones/verExp/45.25/S/PL","2025")</f>
        <v>2025</v>
      </c>
      <c r="D872" s="2" t="s">
        <v>56</v>
      </c>
      <c r="E872" s="2" t="s">
        <v>1665</v>
      </c>
      <c r="F872" s="2" t="s">
        <v>1622</v>
      </c>
      <c r="I872" s="2" t="s">
        <v>1590</v>
      </c>
      <c r="K872" s="2" t="s">
        <v>44</v>
      </c>
      <c r="L872" s="2" t="s">
        <v>1280</v>
      </c>
      <c r="N872" s="2" t="s">
        <v>312</v>
      </c>
      <c r="O872" s="2">
        <v>61.0</v>
      </c>
      <c r="P872" s="2" t="s">
        <v>104</v>
      </c>
      <c r="Q872" s="2" t="s">
        <v>1594</v>
      </c>
      <c r="S872" s="2">
        <v>54.0</v>
      </c>
      <c r="T872" s="2" t="s">
        <v>65</v>
      </c>
      <c r="U872" s="2" t="s">
        <v>1594</v>
      </c>
      <c r="AI872" s="2" t="str">
        <f t="shared" si="18"/>
        <v/>
      </c>
      <c r="AJ872" s="2" t="s">
        <v>49</v>
      </c>
      <c r="AK872" s="2" t="s">
        <v>50</v>
      </c>
    </row>
    <row r="873" ht="15.75" customHeight="1">
      <c r="A873" s="2" t="s">
        <v>1141</v>
      </c>
      <c r="B873" s="3" t="str">
        <f>HYPERLINK("https://www.senado.gob.ar/parlamentario/comisiones/verExp/44.25/OV/CA","44")</f>
        <v>44</v>
      </c>
      <c r="C873" s="3" t="str">
        <f>HYPERLINK("https://www.senado.gob.ar/parlamentario/comisiones/verExp/44.25/OV/CA","2025")</f>
        <v>2025</v>
      </c>
      <c r="D873" s="2" t="s">
        <v>1219</v>
      </c>
      <c r="E873" s="2" t="s">
        <v>1666</v>
      </c>
      <c r="F873" s="2" t="s">
        <v>1604</v>
      </c>
      <c r="I873" s="2" t="s">
        <v>1122</v>
      </c>
      <c r="K873" s="2" t="s">
        <v>44</v>
      </c>
      <c r="L873" s="2" t="s">
        <v>1112</v>
      </c>
      <c r="O873" s="2">
        <v>100.0</v>
      </c>
      <c r="P873" s="2" t="s">
        <v>1146</v>
      </c>
      <c r="Q873" s="2" t="s">
        <v>1123</v>
      </c>
      <c r="AI873" s="2" t="str">
        <f t="shared" si="18"/>
        <v/>
      </c>
      <c r="AJ873" s="2" t="s">
        <v>49</v>
      </c>
      <c r="AK873" s="2" t="s">
        <v>50</v>
      </c>
    </row>
    <row r="874" ht="15.75" customHeight="1">
      <c r="A874" s="2" t="s">
        <v>39</v>
      </c>
      <c r="B874" s="3" t="str">
        <f>HYPERLINK("https://www.senado.gob.ar/parlamentario/comisiones/verExp/44.25/S/PL","44")</f>
        <v>44</v>
      </c>
      <c r="C874" s="3" t="str">
        <f>HYPERLINK("https://www.senado.gob.ar/parlamentario/comisiones/verExp/44.25/S/PL","2025")</f>
        <v>2025</v>
      </c>
      <c r="D874" s="2" t="s">
        <v>56</v>
      </c>
      <c r="E874" s="2" t="s">
        <v>1667</v>
      </c>
      <c r="F874" s="2" t="s">
        <v>1622</v>
      </c>
      <c r="I874" s="2" t="s">
        <v>1590</v>
      </c>
      <c r="K874" s="2" t="s">
        <v>44</v>
      </c>
      <c r="L874" s="2" t="s">
        <v>1280</v>
      </c>
      <c r="N874" s="2" t="s">
        <v>312</v>
      </c>
      <c r="O874" s="2">
        <v>61.0</v>
      </c>
      <c r="P874" s="2" t="s">
        <v>104</v>
      </c>
      <c r="Q874" s="2" t="s">
        <v>1594</v>
      </c>
      <c r="S874" s="2">
        <v>54.0</v>
      </c>
      <c r="T874" s="2" t="s">
        <v>65</v>
      </c>
      <c r="U874" s="2" t="s">
        <v>1594</v>
      </c>
      <c r="AI874" s="2" t="str">
        <f t="shared" si="18"/>
        <v/>
      </c>
      <c r="AJ874" s="2" t="s">
        <v>49</v>
      </c>
      <c r="AK874" s="2" t="s">
        <v>50</v>
      </c>
    </row>
    <row r="875" ht="15.75" customHeight="1">
      <c r="A875" s="2" t="s">
        <v>1141</v>
      </c>
      <c r="B875" s="3" t="str">
        <f>HYPERLINK("https://www.senado.gob.ar/parlamentario/comisiones/verExp/43.25/OV/CA","43")</f>
        <v>43</v>
      </c>
      <c r="C875" s="3" t="str">
        <f>HYPERLINK("https://www.senado.gob.ar/parlamentario/comisiones/verExp/43.25/OV/CA","2025")</f>
        <v>2025</v>
      </c>
      <c r="D875" s="2" t="s">
        <v>1219</v>
      </c>
      <c r="E875" s="2" t="s">
        <v>1668</v>
      </c>
      <c r="F875" s="2" t="s">
        <v>1604</v>
      </c>
      <c r="I875" s="2" t="s">
        <v>1122</v>
      </c>
      <c r="K875" s="2" t="s">
        <v>44</v>
      </c>
      <c r="L875" s="2" t="s">
        <v>1112</v>
      </c>
      <c r="O875" s="2">
        <v>100.0</v>
      </c>
      <c r="P875" s="2" t="s">
        <v>1146</v>
      </c>
      <c r="Q875" s="2" t="s">
        <v>1123</v>
      </c>
      <c r="AI875" s="2" t="str">
        <f t="shared" si="18"/>
        <v/>
      </c>
      <c r="AJ875" s="2" t="s">
        <v>49</v>
      </c>
      <c r="AK875" s="2" t="s">
        <v>50</v>
      </c>
    </row>
    <row r="876" ht="15.75" customHeight="1">
      <c r="A876" s="2" t="s">
        <v>39</v>
      </c>
      <c r="B876" s="3" t="str">
        <f>HYPERLINK("https://www.senado.gob.ar/parlamentario/comisiones/verExp/43.25/S/PL","43")</f>
        <v>43</v>
      </c>
      <c r="C876" s="3" t="str">
        <f>HYPERLINK("https://www.senado.gob.ar/parlamentario/comisiones/verExp/43.25/S/PL","2025")</f>
        <v>2025</v>
      </c>
      <c r="D876" s="2" t="s">
        <v>56</v>
      </c>
      <c r="E876" s="2" t="s">
        <v>1669</v>
      </c>
      <c r="F876" s="2" t="s">
        <v>1622</v>
      </c>
      <c r="I876" s="2" t="s">
        <v>1590</v>
      </c>
      <c r="K876" s="2" t="s">
        <v>44</v>
      </c>
      <c r="L876" s="2" t="s">
        <v>1280</v>
      </c>
      <c r="N876" s="2" t="s">
        <v>312</v>
      </c>
      <c r="O876" s="2">
        <v>50.0</v>
      </c>
      <c r="P876" s="2" t="s">
        <v>47</v>
      </c>
      <c r="Q876" s="2" t="s">
        <v>1594</v>
      </c>
      <c r="AI876" s="2" t="str">
        <f t="shared" si="18"/>
        <v/>
      </c>
      <c r="AJ876" s="2" t="s">
        <v>49</v>
      </c>
      <c r="AK876" s="2" t="s">
        <v>50</v>
      </c>
    </row>
    <row r="877" ht="15.75" customHeight="1">
      <c r="A877" s="2" t="s">
        <v>1141</v>
      </c>
      <c r="B877" s="3" t="str">
        <f>HYPERLINK("https://www.senado.gob.ar/parlamentario/comisiones/verExp/42.25/OV/CA","42")</f>
        <v>42</v>
      </c>
      <c r="C877" s="3" t="str">
        <f>HYPERLINK("https://www.senado.gob.ar/parlamentario/comisiones/verExp/42.25/OV/CA","2025")</f>
        <v>2025</v>
      </c>
      <c r="D877" s="2" t="s">
        <v>1219</v>
      </c>
      <c r="E877" s="2" t="s">
        <v>1670</v>
      </c>
      <c r="F877" s="2" t="s">
        <v>1604</v>
      </c>
      <c r="I877" s="2" t="s">
        <v>1122</v>
      </c>
      <c r="K877" s="2" t="s">
        <v>44</v>
      </c>
      <c r="L877" s="2" t="s">
        <v>1112</v>
      </c>
      <c r="O877" s="2">
        <v>100.0</v>
      </c>
      <c r="P877" s="2" t="s">
        <v>1146</v>
      </c>
      <c r="Q877" s="2" t="s">
        <v>1123</v>
      </c>
      <c r="AI877" s="2" t="str">
        <f t="shared" si="18"/>
        <v/>
      </c>
      <c r="AJ877" s="2" t="s">
        <v>49</v>
      </c>
      <c r="AK877" s="2" t="s">
        <v>50</v>
      </c>
    </row>
    <row r="878" ht="15.75" customHeight="1">
      <c r="A878" s="2" t="s">
        <v>1347</v>
      </c>
      <c r="B878" s="3" t="str">
        <f>HYPERLINK("https://www.senado.gob.ar/parlamentario/comisiones/verExp/42.25/PE/DC","42")</f>
        <v>42</v>
      </c>
      <c r="C878" s="3" t="str">
        <f>HYPERLINK("https://www.senado.gob.ar/parlamentario/comisiones/verExp/42.25/PE/DC","2025")</f>
        <v>2025</v>
      </c>
      <c r="D878" s="2" t="s">
        <v>1348</v>
      </c>
      <c r="E878" s="2" t="s">
        <v>1671</v>
      </c>
      <c r="F878" s="2" t="s">
        <v>883</v>
      </c>
      <c r="I878" s="2" t="s">
        <v>884</v>
      </c>
      <c r="K878" s="2" t="s">
        <v>44</v>
      </c>
      <c r="L878" s="2" t="s">
        <v>884</v>
      </c>
      <c r="O878" s="2">
        <v>105.0</v>
      </c>
      <c r="P878" s="2" t="s">
        <v>1350</v>
      </c>
      <c r="Q878" s="2" t="s">
        <v>1319</v>
      </c>
      <c r="AI878" s="2" t="str">
        <f t="shared" si="18"/>
        <v/>
      </c>
      <c r="AJ878" s="2" t="s">
        <v>49</v>
      </c>
      <c r="AK878" s="2" t="s">
        <v>50</v>
      </c>
    </row>
    <row r="879" ht="15.75" customHeight="1">
      <c r="A879" s="2" t="s">
        <v>39</v>
      </c>
      <c r="B879" s="3" t="str">
        <f>HYPERLINK("https://www.senado.gob.ar/parlamentario/comisiones/verExp/42.25/S/PL","42")</f>
        <v>42</v>
      </c>
      <c r="C879" s="3" t="str">
        <f>HYPERLINK("https://www.senado.gob.ar/parlamentario/comisiones/verExp/42.25/S/PL","2025")</f>
        <v>2025</v>
      </c>
      <c r="D879" s="2" t="s">
        <v>56</v>
      </c>
      <c r="E879" s="2" t="s">
        <v>1672</v>
      </c>
      <c r="F879" s="2" t="s">
        <v>1622</v>
      </c>
      <c r="I879" s="2" t="s">
        <v>1590</v>
      </c>
      <c r="K879" s="2" t="s">
        <v>44</v>
      </c>
      <c r="L879" s="2" t="s">
        <v>1280</v>
      </c>
      <c r="N879" s="2" t="s">
        <v>312</v>
      </c>
      <c r="O879" s="2">
        <v>75.0</v>
      </c>
      <c r="P879" s="2" t="s">
        <v>71</v>
      </c>
      <c r="Q879" s="2" t="s">
        <v>1594</v>
      </c>
      <c r="AI879" s="2" t="str">
        <f t="shared" si="18"/>
        <v/>
      </c>
      <c r="AJ879" s="2" t="s">
        <v>49</v>
      </c>
      <c r="AK879" s="2" t="s">
        <v>50</v>
      </c>
    </row>
    <row r="880" ht="15.75" customHeight="1">
      <c r="A880" s="2" t="s">
        <v>1141</v>
      </c>
      <c r="B880" s="3" t="str">
        <f>HYPERLINK("https://www.senado.gob.ar/parlamentario/comisiones/verExp/41.25/OV/CA","41")</f>
        <v>41</v>
      </c>
      <c r="C880" s="3" t="str">
        <f>HYPERLINK("https://www.senado.gob.ar/parlamentario/comisiones/verExp/41.25/OV/CA","2025")</f>
        <v>2025</v>
      </c>
      <c r="D880" s="2" t="s">
        <v>1219</v>
      </c>
      <c r="E880" s="2" t="s">
        <v>1673</v>
      </c>
      <c r="F880" s="2" t="s">
        <v>1604</v>
      </c>
      <c r="I880" s="2" t="s">
        <v>1122</v>
      </c>
      <c r="K880" s="2" t="s">
        <v>44</v>
      </c>
      <c r="L880" s="2" t="s">
        <v>1112</v>
      </c>
      <c r="O880" s="2">
        <v>100.0</v>
      </c>
      <c r="P880" s="2" t="s">
        <v>1146</v>
      </c>
      <c r="Q880" s="2" t="s">
        <v>1123</v>
      </c>
      <c r="AI880" s="2" t="str">
        <f t="shared" si="18"/>
        <v/>
      </c>
      <c r="AJ880" s="2" t="s">
        <v>49</v>
      </c>
      <c r="AK880" s="2" t="s">
        <v>50</v>
      </c>
    </row>
    <row r="881" ht="15.75" customHeight="1">
      <c r="A881" s="2" t="s">
        <v>1347</v>
      </c>
      <c r="B881" s="3" t="str">
        <f>HYPERLINK("https://www.senado.gob.ar/parlamentario/comisiones/verExp/41.25/PE/DC","41")</f>
        <v>41</v>
      </c>
      <c r="C881" s="3" t="str">
        <f>HYPERLINK("https://www.senado.gob.ar/parlamentario/comisiones/verExp/41.25/PE/DC","2025")</f>
        <v>2025</v>
      </c>
      <c r="D881" s="2" t="s">
        <v>1348</v>
      </c>
      <c r="E881" s="2" t="s">
        <v>1674</v>
      </c>
      <c r="F881" s="2" t="s">
        <v>897</v>
      </c>
      <c r="I881" s="2" t="s">
        <v>898</v>
      </c>
      <c r="K881" s="2" t="s">
        <v>44</v>
      </c>
      <c r="L881" s="2" t="s">
        <v>894</v>
      </c>
      <c r="O881" s="2">
        <v>105.0</v>
      </c>
      <c r="P881" s="2" t="s">
        <v>1350</v>
      </c>
      <c r="Q881" s="2" t="s">
        <v>1675</v>
      </c>
      <c r="AI881" s="2" t="str">
        <f t="shared" si="18"/>
        <v/>
      </c>
      <c r="AJ881" s="2" t="s">
        <v>49</v>
      </c>
      <c r="AK881" s="2" t="s">
        <v>50</v>
      </c>
    </row>
    <row r="882" ht="15.75" customHeight="1">
      <c r="A882" s="2" t="s">
        <v>39</v>
      </c>
      <c r="B882" s="3" t="str">
        <f>HYPERLINK("https://www.senado.gob.ar/parlamentario/comisiones/verExp/41.25/S/PL","41")</f>
        <v>41</v>
      </c>
      <c r="C882" s="3" t="str">
        <f>HYPERLINK("https://www.senado.gob.ar/parlamentario/comisiones/verExp/41.25/S/PL","2025")</f>
        <v>2025</v>
      </c>
      <c r="D882" s="2" t="s">
        <v>56</v>
      </c>
      <c r="E882" s="2" t="s">
        <v>1676</v>
      </c>
      <c r="F882" s="2" t="s">
        <v>1677</v>
      </c>
      <c r="I882" s="2" t="s">
        <v>1590</v>
      </c>
      <c r="K882" s="2" t="s">
        <v>44</v>
      </c>
      <c r="L882" s="2" t="s">
        <v>1280</v>
      </c>
      <c r="N882" s="2" t="s">
        <v>312</v>
      </c>
      <c r="O882" s="2">
        <v>54.0</v>
      </c>
      <c r="P882" s="2" t="s">
        <v>65</v>
      </c>
      <c r="Q882" s="2" t="s">
        <v>1594</v>
      </c>
      <c r="AI882" s="2" t="str">
        <f t="shared" si="18"/>
        <v/>
      </c>
      <c r="AJ882" s="2" t="s">
        <v>49</v>
      </c>
      <c r="AK882" s="2" t="s">
        <v>50</v>
      </c>
    </row>
    <row r="883" ht="15.75" customHeight="1">
      <c r="A883" s="2" t="s">
        <v>1141</v>
      </c>
      <c r="B883" s="3" t="str">
        <f>HYPERLINK("https://www.senado.gob.ar/parlamentario/comisiones/verExp/40.25/OV/CA","40")</f>
        <v>40</v>
      </c>
      <c r="C883" s="3" t="str">
        <f>HYPERLINK("https://www.senado.gob.ar/parlamentario/comisiones/verExp/40.25/OV/CA","2025")</f>
        <v>2025</v>
      </c>
      <c r="D883" s="2" t="s">
        <v>1219</v>
      </c>
      <c r="E883" s="2" t="s">
        <v>1678</v>
      </c>
      <c r="F883" s="2" t="s">
        <v>1604</v>
      </c>
      <c r="I883" s="2" t="s">
        <v>1122</v>
      </c>
      <c r="K883" s="2" t="s">
        <v>44</v>
      </c>
      <c r="L883" s="2" t="s">
        <v>1112</v>
      </c>
      <c r="O883" s="2">
        <v>100.0</v>
      </c>
      <c r="P883" s="2" t="s">
        <v>1146</v>
      </c>
      <c r="Q883" s="2" t="s">
        <v>1123</v>
      </c>
      <c r="AI883" s="2" t="str">
        <f t="shared" si="18"/>
        <v/>
      </c>
      <c r="AJ883" s="2" t="s">
        <v>49</v>
      </c>
      <c r="AK883" s="2" t="s">
        <v>50</v>
      </c>
    </row>
    <row r="884" ht="15.75" customHeight="1">
      <c r="A884" s="2" t="s">
        <v>1347</v>
      </c>
      <c r="B884" s="3" t="str">
        <f>HYPERLINK("https://www.senado.gob.ar/parlamentario/comisiones/verExp/40.25/PE/DC","40")</f>
        <v>40</v>
      </c>
      <c r="C884" s="3" t="str">
        <f>HYPERLINK("https://www.senado.gob.ar/parlamentario/comisiones/verExp/40.25/PE/DC","2025")</f>
        <v>2025</v>
      </c>
      <c r="D884" s="2" t="s">
        <v>1348</v>
      </c>
      <c r="E884" s="2" t="s">
        <v>1679</v>
      </c>
      <c r="F884" s="2" t="s">
        <v>897</v>
      </c>
      <c r="I884" s="2" t="s">
        <v>898</v>
      </c>
      <c r="K884" s="2" t="s">
        <v>44</v>
      </c>
      <c r="L884" s="2" t="s">
        <v>894</v>
      </c>
      <c r="O884" s="2">
        <v>105.0</v>
      </c>
      <c r="P884" s="2" t="s">
        <v>1350</v>
      </c>
      <c r="Q884" s="2" t="s">
        <v>1675</v>
      </c>
      <c r="AI884" s="2" t="str">
        <f t="shared" si="18"/>
        <v/>
      </c>
      <c r="AJ884" s="2" t="s">
        <v>49</v>
      </c>
      <c r="AK884" s="2" t="s">
        <v>50</v>
      </c>
    </row>
    <row r="885" ht="15.75" customHeight="1">
      <c r="A885" s="2" t="s">
        <v>39</v>
      </c>
      <c r="B885" s="3" t="str">
        <f>HYPERLINK("https://www.senado.gob.ar/parlamentario/comisiones/verExp/40.25/S/PL","40")</f>
        <v>40</v>
      </c>
      <c r="C885" s="3" t="str">
        <f>HYPERLINK("https://www.senado.gob.ar/parlamentario/comisiones/verExp/40.25/S/PL","2025")</f>
        <v>2025</v>
      </c>
      <c r="D885" s="2" t="s">
        <v>56</v>
      </c>
      <c r="E885" s="2" t="s">
        <v>1680</v>
      </c>
      <c r="F885" s="2" t="s">
        <v>1677</v>
      </c>
      <c r="I885" s="2" t="s">
        <v>1590</v>
      </c>
      <c r="K885" s="2" t="s">
        <v>44</v>
      </c>
      <c r="L885" s="2" t="s">
        <v>1280</v>
      </c>
      <c r="N885" s="2" t="s">
        <v>312</v>
      </c>
      <c r="O885" s="2">
        <v>62.0</v>
      </c>
      <c r="P885" s="2" t="s">
        <v>205</v>
      </c>
      <c r="Q885" s="2" t="s">
        <v>1594</v>
      </c>
      <c r="S885" s="2">
        <v>59.0</v>
      </c>
      <c r="T885" s="2" t="s">
        <v>220</v>
      </c>
      <c r="U885" s="2" t="s">
        <v>1594</v>
      </c>
      <c r="W885" s="2">
        <v>54.0</v>
      </c>
      <c r="X885" s="2" t="s">
        <v>65</v>
      </c>
      <c r="Y885" s="2" t="s">
        <v>1594</v>
      </c>
      <c r="AI885" s="2" t="str">
        <f t="shared" si="18"/>
        <v/>
      </c>
      <c r="AJ885" s="2" t="s">
        <v>49</v>
      </c>
      <c r="AK885" s="2" t="s">
        <v>50</v>
      </c>
    </row>
    <row r="886" ht="15.75" customHeight="1">
      <c r="A886" s="2" t="s">
        <v>1141</v>
      </c>
      <c r="B886" s="3" t="str">
        <f>HYPERLINK("https://www.senado.gob.ar/parlamentario/comisiones/verExp/39.25/OV/CA","39")</f>
        <v>39</v>
      </c>
      <c r="C886" s="3" t="str">
        <f>HYPERLINK("https://www.senado.gob.ar/parlamentario/comisiones/verExp/39.25/OV/CA","2025")</f>
        <v>2025</v>
      </c>
      <c r="D886" s="2" t="s">
        <v>1219</v>
      </c>
      <c r="E886" s="2" t="s">
        <v>1681</v>
      </c>
      <c r="F886" s="2" t="s">
        <v>1604</v>
      </c>
      <c r="I886" s="2" t="s">
        <v>1122</v>
      </c>
      <c r="K886" s="2" t="s">
        <v>44</v>
      </c>
      <c r="L886" s="2" t="s">
        <v>1112</v>
      </c>
      <c r="O886" s="2">
        <v>100.0</v>
      </c>
      <c r="P886" s="2" t="s">
        <v>1146</v>
      </c>
      <c r="Q886" s="2" t="s">
        <v>1123</v>
      </c>
      <c r="AI886" s="2" t="str">
        <f t="shared" si="18"/>
        <v/>
      </c>
      <c r="AJ886" s="2" t="s">
        <v>49</v>
      </c>
      <c r="AK886" s="2" t="s">
        <v>50</v>
      </c>
    </row>
    <row r="887" ht="15.75" customHeight="1">
      <c r="A887" s="2" t="s">
        <v>39</v>
      </c>
      <c r="B887" s="3" t="str">
        <f>HYPERLINK("https://www.senado.gob.ar/parlamentario/comisiones/verExp/39.25/S/PL","39")</f>
        <v>39</v>
      </c>
      <c r="C887" s="3" t="str">
        <f>HYPERLINK("https://www.senado.gob.ar/parlamentario/comisiones/verExp/39.25/S/PL","2025")</f>
        <v>2025</v>
      </c>
      <c r="D887" s="2" t="s">
        <v>56</v>
      </c>
      <c r="E887" s="2" t="s">
        <v>1682</v>
      </c>
      <c r="F887" s="2" t="s">
        <v>1677</v>
      </c>
      <c r="I887" s="2" t="s">
        <v>1590</v>
      </c>
      <c r="K887" s="2" t="s">
        <v>44</v>
      </c>
      <c r="L887" s="2" t="s">
        <v>1280</v>
      </c>
      <c r="N887" s="2" t="s">
        <v>312</v>
      </c>
      <c r="O887" s="2">
        <v>53.0</v>
      </c>
      <c r="P887" s="2" t="s">
        <v>76</v>
      </c>
      <c r="Q887" s="2" t="s">
        <v>1594</v>
      </c>
      <c r="S887" s="2">
        <v>61.0</v>
      </c>
      <c r="T887" s="2" t="s">
        <v>104</v>
      </c>
      <c r="U887" s="2" t="s">
        <v>1594</v>
      </c>
      <c r="W887" s="2">
        <v>73.0</v>
      </c>
      <c r="X887" s="2" t="s">
        <v>237</v>
      </c>
      <c r="Y887" s="2" t="s">
        <v>1594</v>
      </c>
      <c r="AI887" s="2" t="str">
        <f t="shared" si="18"/>
        <v/>
      </c>
      <c r="AJ887" s="2" t="s">
        <v>49</v>
      </c>
      <c r="AK887" s="2" t="s">
        <v>50</v>
      </c>
    </row>
    <row r="888" ht="15.75" customHeight="1">
      <c r="A888" s="2" t="s">
        <v>1141</v>
      </c>
      <c r="B888" s="3" t="str">
        <f>HYPERLINK("https://www.senado.gob.ar/parlamentario/comisiones/verExp/38.25/OV/CA","38")</f>
        <v>38</v>
      </c>
      <c r="C888" s="3" t="str">
        <f>HYPERLINK("https://www.senado.gob.ar/parlamentario/comisiones/verExp/38.25/OV/CA","2025")</f>
        <v>2025</v>
      </c>
      <c r="D888" s="2" t="s">
        <v>1219</v>
      </c>
      <c r="E888" s="2" t="s">
        <v>1683</v>
      </c>
      <c r="F888" s="2" t="s">
        <v>1604</v>
      </c>
      <c r="I888" s="2" t="s">
        <v>1122</v>
      </c>
      <c r="K888" s="2" t="s">
        <v>44</v>
      </c>
      <c r="L888" s="2" t="s">
        <v>1112</v>
      </c>
      <c r="O888" s="2">
        <v>100.0</v>
      </c>
      <c r="P888" s="2" t="s">
        <v>1146</v>
      </c>
      <c r="Q888" s="2" t="s">
        <v>1123</v>
      </c>
      <c r="AI888" s="2" t="str">
        <f t="shared" si="18"/>
        <v/>
      </c>
      <c r="AJ888" s="2" t="s">
        <v>49</v>
      </c>
      <c r="AK888" s="2" t="s">
        <v>50</v>
      </c>
    </row>
    <row r="889" ht="15.75" customHeight="1">
      <c r="A889" s="2" t="s">
        <v>1347</v>
      </c>
      <c r="B889" s="3" t="str">
        <f>HYPERLINK("https://www.senado.gob.ar/parlamentario/comisiones/verExp/38.25/PE/DC","38")</f>
        <v>38</v>
      </c>
      <c r="C889" s="3" t="str">
        <f>HYPERLINK("https://www.senado.gob.ar/parlamentario/comisiones/verExp/38.25/PE/DC","2025")</f>
        <v>2025</v>
      </c>
      <c r="D889" s="2" t="s">
        <v>1348</v>
      </c>
      <c r="E889" s="2" t="s">
        <v>1684</v>
      </c>
      <c r="F889" s="2" t="s">
        <v>897</v>
      </c>
      <c r="I889" s="2" t="s">
        <v>898</v>
      </c>
      <c r="K889" s="2" t="s">
        <v>44</v>
      </c>
      <c r="L889" s="2" t="s">
        <v>894</v>
      </c>
      <c r="O889" s="2">
        <v>105.0</v>
      </c>
      <c r="P889" s="2" t="s">
        <v>1350</v>
      </c>
      <c r="Q889" s="2" t="s">
        <v>1675</v>
      </c>
      <c r="AI889" s="2" t="str">
        <f t="shared" si="18"/>
        <v/>
      </c>
      <c r="AJ889" s="2" t="s">
        <v>49</v>
      </c>
      <c r="AK889" s="2" t="s">
        <v>50</v>
      </c>
    </row>
    <row r="890" ht="15.75" customHeight="1">
      <c r="A890" s="2" t="s">
        <v>39</v>
      </c>
      <c r="B890" s="3" t="str">
        <f>HYPERLINK("https://www.senado.gob.ar/parlamentario/comisiones/verExp/38.25/S/PL","38")</f>
        <v>38</v>
      </c>
      <c r="C890" s="3" t="str">
        <f>HYPERLINK("https://www.senado.gob.ar/parlamentario/comisiones/verExp/38.25/S/PL","2025")</f>
        <v>2025</v>
      </c>
      <c r="D890" s="2" t="s">
        <v>56</v>
      </c>
      <c r="E890" s="2" t="s">
        <v>1685</v>
      </c>
      <c r="F890" s="2" t="s">
        <v>1677</v>
      </c>
      <c r="I890" s="2" t="s">
        <v>1590</v>
      </c>
      <c r="K890" s="2" t="s">
        <v>44</v>
      </c>
      <c r="L890" s="2" t="s">
        <v>1280</v>
      </c>
      <c r="N890" s="2" t="s">
        <v>312</v>
      </c>
      <c r="O890" s="2">
        <v>61.0</v>
      </c>
      <c r="P890" s="2" t="s">
        <v>104</v>
      </c>
      <c r="Q890" s="2" t="s">
        <v>1594</v>
      </c>
      <c r="AI890" s="2" t="str">
        <f t="shared" si="18"/>
        <v/>
      </c>
      <c r="AJ890" s="2" t="s">
        <v>49</v>
      </c>
      <c r="AK890" s="2" t="s">
        <v>50</v>
      </c>
    </row>
    <row r="891" ht="15.75" customHeight="1">
      <c r="A891" s="2" t="s">
        <v>1141</v>
      </c>
      <c r="B891" s="3" t="str">
        <f>HYPERLINK("https://www.senado.gob.ar/parlamentario/comisiones/verExp/37.25/OV/CA","37")</f>
        <v>37</v>
      </c>
      <c r="C891" s="3" t="str">
        <f>HYPERLINK("https://www.senado.gob.ar/parlamentario/comisiones/verExp/37.25/OV/CA","2025")</f>
        <v>2025</v>
      </c>
      <c r="D891" s="2" t="s">
        <v>1219</v>
      </c>
      <c r="E891" s="2" t="s">
        <v>1686</v>
      </c>
      <c r="F891" s="2" t="s">
        <v>1604</v>
      </c>
      <c r="I891" s="2" t="s">
        <v>1122</v>
      </c>
      <c r="K891" s="2" t="s">
        <v>44</v>
      </c>
      <c r="L891" s="2" t="s">
        <v>1112</v>
      </c>
      <c r="O891" s="2">
        <v>100.0</v>
      </c>
      <c r="P891" s="2" t="s">
        <v>1146</v>
      </c>
      <c r="Q891" s="2" t="s">
        <v>1123</v>
      </c>
      <c r="AI891" s="2" t="str">
        <f t="shared" si="18"/>
        <v/>
      </c>
      <c r="AJ891" s="2" t="s">
        <v>49</v>
      </c>
      <c r="AK891" s="2" t="s">
        <v>50</v>
      </c>
    </row>
    <row r="892" ht="15.75" customHeight="1">
      <c r="A892" s="2" t="s">
        <v>1347</v>
      </c>
      <c r="B892" s="3" t="str">
        <f>HYPERLINK("https://www.senado.gob.ar/parlamentario/comisiones/verExp/37.25/PE/DC","37")</f>
        <v>37</v>
      </c>
      <c r="C892" s="3" t="str">
        <f>HYPERLINK("https://www.senado.gob.ar/parlamentario/comisiones/verExp/37.25/PE/DC","2025")</f>
        <v>2025</v>
      </c>
      <c r="D892" s="2" t="s">
        <v>1348</v>
      </c>
      <c r="E892" s="2" t="s">
        <v>1687</v>
      </c>
      <c r="F892" s="2" t="s">
        <v>897</v>
      </c>
      <c r="I892" s="2" t="s">
        <v>898</v>
      </c>
      <c r="K892" s="2" t="s">
        <v>44</v>
      </c>
      <c r="L892" s="2" t="s">
        <v>894</v>
      </c>
      <c r="O892" s="2">
        <v>105.0</v>
      </c>
      <c r="P892" s="2" t="s">
        <v>1350</v>
      </c>
      <c r="Q892" s="2" t="s">
        <v>1675</v>
      </c>
      <c r="AI892" s="2" t="str">
        <f t="shared" si="18"/>
        <v/>
      </c>
      <c r="AJ892" s="2" t="s">
        <v>49</v>
      </c>
      <c r="AK892" s="2" t="s">
        <v>50</v>
      </c>
    </row>
    <row r="893" ht="15.75" customHeight="1">
      <c r="A893" s="2" t="s">
        <v>39</v>
      </c>
      <c r="B893" s="3" t="str">
        <f>HYPERLINK("https://www.senado.gob.ar/parlamentario/comisiones/verExp/37.25/S/PL","37")</f>
        <v>37</v>
      </c>
      <c r="C893" s="3" t="str">
        <f>HYPERLINK("https://www.senado.gob.ar/parlamentario/comisiones/verExp/37.25/S/PL","2025")</f>
        <v>2025</v>
      </c>
      <c r="D893" s="2" t="s">
        <v>56</v>
      </c>
      <c r="E893" s="2" t="s">
        <v>1688</v>
      </c>
      <c r="F893" s="2" t="s">
        <v>1677</v>
      </c>
      <c r="I893" s="2" t="s">
        <v>1590</v>
      </c>
      <c r="K893" s="2" t="s">
        <v>44</v>
      </c>
      <c r="L893" s="2" t="s">
        <v>1280</v>
      </c>
      <c r="N893" s="2" t="s">
        <v>312</v>
      </c>
      <c r="O893" s="2">
        <v>69.0</v>
      </c>
      <c r="P893" s="2" t="s">
        <v>135</v>
      </c>
      <c r="Q893" s="2" t="s">
        <v>1594</v>
      </c>
      <c r="S893" s="2">
        <v>52.0</v>
      </c>
      <c r="T893" s="2" t="s">
        <v>78</v>
      </c>
      <c r="U893" s="2" t="s">
        <v>1594</v>
      </c>
      <c r="AI893" s="2" t="str">
        <f t="shared" si="18"/>
        <v/>
      </c>
      <c r="AJ893" s="2" t="s">
        <v>49</v>
      </c>
      <c r="AK893" s="2" t="s">
        <v>50</v>
      </c>
    </row>
    <row r="894" ht="15.75" customHeight="1">
      <c r="A894" s="2" t="s">
        <v>1141</v>
      </c>
      <c r="B894" s="3" t="str">
        <f>HYPERLINK("https://www.senado.gob.ar/parlamentario/comisiones/verExp/36.25/OV/CA","36")</f>
        <v>36</v>
      </c>
      <c r="C894" s="3" t="str">
        <f>HYPERLINK("https://www.senado.gob.ar/parlamentario/comisiones/verExp/36.25/OV/CA","2025")</f>
        <v>2025</v>
      </c>
      <c r="D894" s="2" t="s">
        <v>1219</v>
      </c>
      <c r="E894" s="2" t="s">
        <v>1689</v>
      </c>
      <c r="F894" s="2" t="s">
        <v>1604</v>
      </c>
      <c r="I894" s="2" t="s">
        <v>1122</v>
      </c>
      <c r="K894" s="2" t="s">
        <v>44</v>
      </c>
      <c r="L894" s="2" t="s">
        <v>1112</v>
      </c>
      <c r="O894" s="2">
        <v>100.0</v>
      </c>
      <c r="P894" s="2" t="s">
        <v>1146</v>
      </c>
      <c r="Q894" s="2" t="s">
        <v>1123</v>
      </c>
      <c r="AI894" s="2" t="str">
        <f t="shared" si="18"/>
        <v/>
      </c>
      <c r="AJ894" s="2" t="s">
        <v>49</v>
      </c>
      <c r="AK894" s="2" t="s">
        <v>50</v>
      </c>
    </row>
    <row r="895" ht="15.75" customHeight="1">
      <c r="A895" s="2" t="s">
        <v>1347</v>
      </c>
      <c r="B895" s="3" t="str">
        <f>HYPERLINK("https://www.senado.gob.ar/parlamentario/comisiones/verExp/36.25/PE/DC","36")</f>
        <v>36</v>
      </c>
      <c r="C895" s="3" t="str">
        <f>HYPERLINK("https://www.senado.gob.ar/parlamentario/comisiones/verExp/36.25/PE/DC","2025")</f>
        <v>2025</v>
      </c>
      <c r="D895" s="2" t="s">
        <v>1348</v>
      </c>
      <c r="E895" s="2" t="s">
        <v>1690</v>
      </c>
      <c r="F895" s="2" t="s">
        <v>1691</v>
      </c>
      <c r="I895" s="2" t="s">
        <v>898</v>
      </c>
      <c r="K895" s="2" t="s">
        <v>44</v>
      </c>
      <c r="L895" s="2" t="s">
        <v>894</v>
      </c>
      <c r="O895" s="2">
        <v>105.0</v>
      </c>
      <c r="P895" s="2" t="s">
        <v>1350</v>
      </c>
      <c r="Q895" s="2" t="s">
        <v>1675</v>
      </c>
      <c r="AI895" s="2" t="str">
        <f t="shared" si="18"/>
        <v/>
      </c>
      <c r="AJ895" s="2" t="s">
        <v>49</v>
      </c>
      <c r="AK895" s="2" t="s">
        <v>50</v>
      </c>
    </row>
    <row r="896" ht="15.75" customHeight="1">
      <c r="A896" s="2" t="s">
        <v>39</v>
      </c>
      <c r="B896" s="3" t="str">
        <f>HYPERLINK("https://www.senado.gob.ar/parlamentario/comisiones/verExp/36.25/S/PL","36")</f>
        <v>36</v>
      </c>
      <c r="C896" s="3" t="str">
        <f>HYPERLINK("https://www.senado.gob.ar/parlamentario/comisiones/verExp/36.25/S/PL","2025")</f>
        <v>2025</v>
      </c>
      <c r="D896" s="2" t="s">
        <v>56</v>
      </c>
      <c r="E896" s="2" t="s">
        <v>1692</v>
      </c>
      <c r="F896" s="2" t="s">
        <v>1677</v>
      </c>
      <c r="I896" s="2" t="s">
        <v>1590</v>
      </c>
      <c r="K896" s="2" t="s">
        <v>44</v>
      </c>
      <c r="L896" s="2" t="s">
        <v>1313</v>
      </c>
      <c r="N896" s="2" t="s">
        <v>312</v>
      </c>
      <c r="O896" s="2">
        <v>75.0</v>
      </c>
      <c r="P896" s="2" t="s">
        <v>71</v>
      </c>
      <c r="Q896" s="2" t="s">
        <v>1693</v>
      </c>
      <c r="S896" s="2">
        <v>53.0</v>
      </c>
      <c r="T896" s="2" t="s">
        <v>76</v>
      </c>
      <c r="U896" s="2" t="s">
        <v>1693</v>
      </c>
      <c r="AI896" s="2" t="str">
        <f t="shared" si="18"/>
        <v/>
      </c>
      <c r="AJ896" s="2" t="s">
        <v>49</v>
      </c>
      <c r="AK896" s="2" t="s">
        <v>50</v>
      </c>
    </row>
    <row r="897" ht="15.75" customHeight="1">
      <c r="A897" s="2" t="s">
        <v>1347</v>
      </c>
      <c r="B897" s="3" t="str">
        <f>HYPERLINK("https://www.senado.gob.ar/parlamentario/comisiones/verExp/35.25/PE/DC","35")</f>
        <v>35</v>
      </c>
      <c r="C897" s="3" t="str">
        <f>HYPERLINK("https://www.senado.gob.ar/parlamentario/comisiones/verExp/35.25/PE/DC","2025")</f>
        <v>2025</v>
      </c>
      <c r="D897" s="2" t="s">
        <v>1348</v>
      </c>
      <c r="E897" s="2" t="s">
        <v>1694</v>
      </c>
      <c r="F897" s="2" t="s">
        <v>938</v>
      </c>
      <c r="I897" s="2" t="s">
        <v>936</v>
      </c>
      <c r="K897" s="2" t="s">
        <v>44</v>
      </c>
      <c r="L897" s="2" t="s">
        <v>936</v>
      </c>
      <c r="O897" s="2">
        <v>105.0</v>
      </c>
      <c r="P897" s="2" t="s">
        <v>1350</v>
      </c>
      <c r="Q897" s="2" t="s">
        <v>1695</v>
      </c>
      <c r="AI897" s="2" t="str">
        <f t="shared" si="18"/>
        <v/>
      </c>
      <c r="AJ897" s="2" t="s">
        <v>49</v>
      </c>
      <c r="AK897" s="2" t="s">
        <v>50</v>
      </c>
    </row>
    <row r="898" ht="15.75" customHeight="1">
      <c r="A898" s="2" t="s">
        <v>39</v>
      </c>
      <c r="B898" s="3" t="str">
        <f>HYPERLINK("https://www.senado.gob.ar/parlamentario/comisiones/verExp/35.25/S/PL","35")</f>
        <v>35</v>
      </c>
      <c r="C898" s="3" t="str">
        <f>HYPERLINK("https://www.senado.gob.ar/parlamentario/comisiones/verExp/35.25/S/PL","2025")</f>
        <v>2025</v>
      </c>
      <c r="D898" s="2" t="s">
        <v>56</v>
      </c>
      <c r="E898" s="2" t="s">
        <v>1696</v>
      </c>
      <c r="F898" s="2" t="s">
        <v>1677</v>
      </c>
      <c r="I898" s="2" t="s">
        <v>1590</v>
      </c>
      <c r="K898" s="2" t="s">
        <v>44</v>
      </c>
      <c r="L898" s="2" t="s">
        <v>1313</v>
      </c>
      <c r="N898" s="2" t="s">
        <v>312</v>
      </c>
      <c r="O898" s="2">
        <v>70.0</v>
      </c>
      <c r="P898" s="2" t="s">
        <v>166</v>
      </c>
      <c r="Q898" s="2" t="s">
        <v>1693</v>
      </c>
      <c r="S898" s="2">
        <v>78.0</v>
      </c>
      <c r="T898" s="2" t="s">
        <v>73</v>
      </c>
      <c r="U898" s="2" t="s">
        <v>1693</v>
      </c>
      <c r="AI898" s="2" t="str">
        <f t="shared" si="18"/>
        <v/>
      </c>
      <c r="AJ898" s="2" t="s">
        <v>49</v>
      </c>
      <c r="AK898" s="2" t="s">
        <v>50</v>
      </c>
    </row>
    <row r="899" ht="15.75" customHeight="1">
      <c r="A899" s="2" t="s">
        <v>39</v>
      </c>
      <c r="B899" s="3" t="str">
        <f>HYPERLINK("https://www.senado.gob.ar/parlamentario/comisiones/verExp/34.25/S/PL","34")</f>
        <v>34</v>
      </c>
      <c r="C899" s="3" t="str">
        <f>HYPERLINK("https://www.senado.gob.ar/parlamentario/comisiones/verExp/34.25/S/PL","2025")</f>
        <v>2025</v>
      </c>
      <c r="D899" s="2" t="s">
        <v>56</v>
      </c>
      <c r="E899" s="2" t="s">
        <v>1697</v>
      </c>
      <c r="F899" s="2" t="s">
        <v>1677</v>
      </c>
      <c r="I899" s="2" t="s">
        <v>1590</v>
      </c>
      <c r="K899" s="2" t="s">
        <v>44</v>
      </c>
      <c r="L899" s="2" t="s">
        <v>1313</v>
      </c>
      <c r="N899" s="2" t="s">
        <v>312</v>
      </c>
      <c r="O899" s="2">
        <v>62.0</v>
      </c>
      <c r="P899" s="2" t="s">
        <v>205</v>
      </c>
      <c r="Q899" s="2" t="s">
        <v>1693</v>
      </c>
      <c r="S899" s="2">
        <v>75.0</v>
      </c>
      <c r="T899" s="2" t="s">
        <v>71</v>
      </c>
      <c r="U899" s="2" t="s">
        <v>1693</v>
      </c>
      <c r="AI899" s="2" t="str">
        <f t="shared" si="18"/>
        <v/>
      </c>
      <c r="AJ899" s="2" t="s">
        <v>49</v>
      </c>
      <c r="AK899" s="2" t="s">
        <v>50</v>
      </c>
    </row>
    <row r="900" ht="15.75" customHeight="1">
      <c r="A900" s="2" t="s">
        <v>1347</v>
      </c>
      <c r="B900" s="3" t="str">
        <f>HYPERLINK("https://www.senado.gob.ar/parlamentario/comisiones/verExp/33.25/PE/DC","33")</f>
        <v>33</v>
      </c>
      <c r="C900" s="3" t="str">
        <f>HYPERLINK("https://www.senado.gob.ar/parlamentario/comisiones/verExp/33.25/PE/DC","2025")</f>
        <v>2025</v>
      </c>
      <c r="D900" s="2" t="s">
        <v>1348</v>
      </c>
      <c r="E900" s="2" t="s">
        <v>1698</v>
      </c>
      <c r="F900" s="2" t="s">
        <v>943</v>
      </c>
      <c r="I900" s="2" t="s">
        <v>944</v>
      </c>
      <c r="K900" s="2" t="s">
        <v>44</v>
      </c>
      <c r="L900" s="2" t="s">
        <v>944</v>
      </c>
      <c r="O900" s="2">
        <v>105.0</v>
      </c>
      <c r="P900" s="2" t="s">
        <v>1350</v>
      </c>
      <c r="Q900" s="2" t="s">
        <v>1699</v>
      </c>
      <c r="AI900" s="2" t="str">
        <f t="shared" si="18"/>
        <v/>
      </c>
      <c r="AJ900" s="2" t="s">
        <v>49</v>
      </c>
      <c r="AK900" s="2" t="s">
        <v>50</v>
      </c>
    </row>
    <row r="901" ht="15.75" customHeight="1">
      <c r="A901" s="2" t="s">
        <v>39</v>
      </c>
      <c r="B901" s="3" t="str">
        <f>HYPERLINK("https://www.senado.gob.ar/parlamentario/comisiones/verExp/33.25/S/PL","33")</f>
        <v>33</v>
      </c>
      <c r="C901" s="3" t="str">
        <f>HYPERLINK("https://www.senado.gob.ar/parlamentario/comisiones/verExp/33.25/S/PL","2025")</f>
        <v>2025</v>
      </c>
      <c r="D901" s="2" t="s">
        <v>56</v>
      </c>
      <c r="E901" s="2" t="s">
        <v>1700</v>
      </c>
      <c r="F901" s="2" t="s">
        <v>1677</v>
      </c>
      <c r="I901" s="2" t="s">
        <v>1590</v>
      </c>
      <c r="K901" s="2" t="s">
        <v>44</v>
      </c>
      <c r="L901" s="2" t="s">
        <v>1313</v>
      </c>
      <c r="N901" s="2" t="s">
        <v>312</v>
      </c>
      <c r="O901" s="2">
        <v>62.0</v>
      </c>
      <c r="P901" s="2" t="s">
        <v>205</v>
      </c>
      <c r="Q901" s="2" t="s">
        <v>1693</v>
      </c>
      <c r="S901" s="2">
        <v>75.0</v>
      </c>
      <c r="T901" s="2" t="s">
        <v>71</v>
      </c>
      <c r="U901" s="2" t="s">
        <v>1693</v>
      </c>
      <c r="AI901" s="2" t="str">
        <f t="shared" si="18"/>
        <v/>
      </c>
      <c r="AJ901" s="2" t="s">
        <v>49</v>
      </c>
      <c r="AK901" s="2" t="s">
        <v>50</v>
      </c>
    </row>
    <row r="902" ht="15.75" customHeight="1">
      <c r="A902" s="2" t="s">
        <v>1347</v>
      </c>
      <c r="B902" s="3" t="str">
        <f>HYPERLINK("https://www.senado.gob.ar/parlamentario/comisiones/verExp/32.25/PE/DC","32")</f>
        <v>32</v>
      </c>
      <c r="C902" s="3" t="str">
        <f>HYPERLINK("https://www.senado.gob.ar/parlamentario/comisiones/verExp/32.25/PE/DC","2025")</f>
        <v>2025</v>
      </c>
      <c r="D902" s="2" t="s">
        <v>1348</v>
      </c>
      <c r="E902" s="2" t="s">
        <v>1701</v>
      </c>
      <c r="F902" s="2" t="s">
        <v>943</v>
      </c>
      <c r="I902" s="2" t="s">
        <v>944</v>
      </c>
      <c r="K902" s="2" t="s">
        <v>44</v>
      </c>
      <c r="L902" s="2" t="s">
        <v>944</v>
      </c>
      <c r="O902" s="2">
        <v>105.0</v>
      </c>
      <c r="P902" s="2" t="s">
        <v>1350</v>
      </c>
      <c r="Q902" s="2" t="s">
        <v>1699</v>
      </c>
      <c r="AI902" s="2" t="str">
        <f t="shared" si="18"/>
        <v/>
      </c>
      <c r="AJ902" s="2" t="s">
        <v>49</v>
      </c>
      <c r="AK902" s="2" t="s">
        <v>50</v>
      </c>
    </row>
    <row r="903" ht="15.75" customHeight="1">
      <c r="A903" s="2" t="s">
        <v>39</v>
      </c>
      <c r="B903" s="3" t="str">
        <f>HYPERLINK("https://www.senado.gob.ar/parlamentario/comisiones/verExp/32.25/S/PL","32")</f>
        <v>32</v>
      </c>
      <c r="C903" s="3" t="str">
        <f>HYPERLINK("https://www.senado.gob.ar/parlamentario/comisiones/verExp/32.25/S/PL","2025")</f>
        <v>2025</v>
      </c>
      <c r="D903" s="2" t="s">
        <v>56</v>
      </c>
      <c r="E903" s="2" t="s">
        <v>1702</v>
      </c>
      <c r="F903" s="2" t="s">
        <v>1677</v>
      </c>
      <c r="I903" s="2" t="s">
        <v>1590</v>
      </c>
      <c r="K903" s="2" t="s">
        <v>44</v>
      </c>
      <c r="L903" s="2" t="s">
        <v>1313</v>
      </c>
      <c r="N903" s="2" t="s">
        <v>312</v>
      </c>
      <c r="O903" s="2">
        <v>70.0</v>
      </c>
      <c r="P903" s="2" t="s">
        <v>166</v>
      </c>
      <c r="Q903" s="2" t="s">
        <v>1693</v>
      </c>
      <c r="S903" s="2">
        <v>54.0</v>
      </c>
      <c r="T903" s="2" t="s">
        <v>65</v>
      </c>
      <c r="U903" s="2" t="s">
        <v>1693</v>
      </c>
      <c r="AI903" s="2" t="str">
        <f t="shared" si="18"/>
        <v/>
      </c>
      <c r="AJ903" s="2" t="s">
        <v>49</v>
      </c>
      <c r="AK903" s="2" t="s">
        <v>50</v>
      </c>
    </row>
    <row r="904" ht="15.75" customHeight="1">
      <c r="A904" s="2" t="s">
        <v>1347</v>
      </c>
      <c r="B904" s="3" t="str">
        <f>HYPERLINK("https://www.senado.gob.ar/parlamentario/comisiones/verExp/31.25/PE/DC","31")</f>
        <v>31</v>
      </c>
      <c r="C904" s="3" t="str">
        <f>HYPERLINK("https://www.senado.gob.ar/parlamentario/comisiones/verExp/31.25/PE/DC","2025")</f>
        <v>2025</v>
      </c>
      <c r="D904" s="2" t="s">
        <v>1348</v>
      </c>
      <c r="E904" s="2" t="s">
        <v>1703</v>
      </c>
      <c r="F904" s="2" t="s">
        <v>1704</v>
      </c>
      <c r="I904" s="2" t="s">
        <v>1705</v>
      </c>
      <c r="K904" s="2" t="s">
        <v>44</v>
      </c>
      <c r="L904" s="2" t="s">
        <v>944</v>
      </c>
      <c r="O904" s="2">
        <v>105.0</v>
      </c>
      <c r="P904" s="2" t="s">
        <v>1350</v>
      </c>
      <c r="Q904" s="2" t="s">
        <v>1699</v>
      </c>
      <c r="AI904" s="2" t="str">
        <f t="shared" si="18"/>
        <v/>
      </c>
      <c r="AJ904" s="2" t="s">
        <v>49</v>
      </c>
      <c r="AK904" s="2" t="s">
        <v>50</v>
      </c>
    </row>
    <row r="905" ht="15.75" customHeight="1">
      <c r="A905" s="2" t="s">
        <v>39</v>
      </c>
      <c r="B905" s="3" t="str">
        <f>HYPERLINK("https://www.senado.gob.ar/parlamentario/comisiones/verExp/31.25/S/PL","31")</f>
        <v>31</v>
      </c>
      <c r="C905" s="3" t="str">
        <f>HYPERLINK("https://www.senado.gob.ar/parlamentario/comisiones/verExp/31.25/S/PL","2025")</f>
        <v>2025</v>
      </c>
      <c r="D905" s="2" t="s">
        <v>56</v>
      </c>
      <c r="E905" s="2" t="s">
        <v>1706</v>
      </c>
      <c r="F905" s="2" t="s">
        <v>1677</v>
      </c>
      <c r="I905" s="2" t="s">
        <v>1590</v>
      </c>
      <c r="K905" s="2" t="s">
        <v>44</v>
      </c>
      <c r="L905" s="2" t="s">
        <v>1313</v>
      </c>
      <c r="N905" s="2" t="s">
        <v>312</v>
      </c>
      <c r="O905" s="2">
        <v>59.0</v>
      </c>
      <c r="P905" s="2" t="s">
        <v>220</v>
      </c>
      <c r="Q905" s="2" t="s">
        <v>1693</v>
      </c>
      <c r="S905" s="2">
        <v>54.0</v>
      </c>
      <c r="T905" s="2" t="s">
        <v>65</v>
      </c>
      <c r="U905" s="2" t="s">
        <v>1693</v>
      </c>
      <c r="W905" s="2">
        <v>53.0</v>
      </c>
      <c r="X905" s="2" t="s">
        <v>76</v>
      </c>
      <c r="Y905" s="2" t="s">
        <v>1693</v>
      </c>
      <c r="AI905" s="2" t="str">
        <f t="shared" si="18"/>
        <v/>
      </c>
      <c r="AJ905" s="2" t="s">
        <v>49</v>
      </c>
      <c r="AK905" s="2" t="s">
        <v>50</v>
      </c>
    </row>
    <row r="906" ht="15.75" customHeight="1">
      <c r="A906" s="2" t="s">
        <v>1347</v>
      </c>
      <c r="B906" s="3" t="str">
        <f>HYPERLINK("https://www.senado.gob.ar/parlamentario/comisiones/verExp/30.25/PE/DC","30")</f>
        <v>30</v>
      </c>
      <c r="C906" s="3" t="str">
        <f>HYPERLINK("https://www.senado.gob.ar/parlamentario/comisiones/verExp/30.25/PE/DC","2025")</f>
        <v>2025</v>
      </c>
      <c r="D906" s="2" t="s">
        <v>1348</v>
      </c>
      <c r="E906" s="2" t="s">
        <v>1707</v>
      </c>
      <c r="F906" s="2" t="s">
        <v>1704</v>
      </c>
      <c r="I906" s="2" t="s">
        <v>1705</v>
      </c>
      <c r="K906" s="2" t="s">
        <v>44</v>
      </c>
      <c r="L906" s="2" t="s">
        <v>944</v>
      </c>
      <c r="O906" s="2">
        <v>105.0</v>
      </c>
      <c r="P906" s="2" t="s">
        <v>1350</v>
      </c>
      <c r="Q906" s="2" t="s">
        <v>1699</v>
      </c>
      <c r="AI906" s="2" t="str">
        <f t="shared" si="18"/>
        <v/>
      </c>
      <c r="AJ906" s="2" t="s">
        <v>49</v>
      </c>
      <c r="AK906" s="2" t="s">
        <v>50</v>
      </c>
    </row>
    <row r="907" ht="15.75" customHeight="1">
      <c r="A907" s="2" t="s">
        <v>39</v>
      </c>
      <c r="B907" s="3" t="str">
        <f>HYPERLINK("https://www.senado.gob.ar/parlamentario/comisiones/verExp/30.25/S/PL","30")</f>
        <v>30</v>
      </c>
      <c r="C907" s="3" t="str">
        <f>HYPERLINK("https://www.senado.gob.ar/parlamentario/comisiones/verExp/30.25/S/PL","2025")</f>
        <v>2025</v>
      </c>
      <c r="D907" s="2" t="s">
        <v>56</v>
      </c>
      <c r="E907" s="2" t="s">
        <v>1708</v>
      </c>
      <c r="F907" s="2" t="s">
        <v>1677</v>
      </c>
      <c r="I907" s="2" t="s">
        <v>1590</v>
      </c>
      <c r="K907" s="2" t="s">
        <v>44</v>
      </c>
      <c r="L907" s="2" t="s">
        <v>1313</v>
      </c>
      <c r="N907" s="2" t="s">
        <v>980</v>
      </c>
      <c r="O907" s="2">
        <v>78.0</v>
      </c>
      <c r="P907" s="2" t="s">
        <v>73</v>
      </c>
      <c r="Q907" s="2" t="s">
        <v>1693</v>
      </c>
      <c r="S907" s="2">
        <v>74.0</v>
      </c>
      <c r="T907" s="2" t="s">
        <v>256</v>
      </c>
      <c r="U907" s="2" t="s">
        <v>1693</v>
      </c>
      <c r="W907" s="2">
        <v>53.0</v>
      </c>
      <c r="X907" s="2" t="s">
        <v>76</v>
      </c>
      <c r="Y907" s="2" t="s">
        <v>1693</v>
      </c>
      <c r="AI907" s="2" t="str">
        <f t="shared" si="18"/>
        <v/>
      </c>
      <c r="AJ907" s="2" t="s">
        <v>49</v>
      </c>
      <c r="AK907" s="2" t="s">
        <v>50</v>
      </c>
    </row>
    <row r="908" ht="15.75" customHeight="1">
      <c r="A908" s="2" t="s">
        <v>39</v>
      </c>
      <c r="B908" s="3" t="str">
        <f>HYPERLINK("https://www.senado.gob.ar/parlamentario/comisiones/verExp/29.25/S/PL","29")</f>
        <v>29</v>
      </c>
      <c r="C908" s="3" t="str">
        <f>HYPERLINK("https://www.senado.gob.ar/parlamentario/comisiones/verExp/29.25/S/PL","2025")</f>
        <v>2025</v>
      </c>
      <c r="D908" s="2" t="s">
        <v>56</v>
      </c>
      <c r="E908" s="2" t="s">
        <v>1709</v>
      </c>
      <c r="F908" s="2" t="s">
        <v>1677</v>
      </c>
      <c r="I908" s="2" t="s">
        <v>1590</v>
      </c>
      <c r="K908" s="2" t="s">
        <v>44</v>
      </c>
      <c r="L908" s="2" t="s">
        <v>1313</v>
      </c>
      <c r="N908" s="2" t="s">
        <v>980</v>
      </c>
      <c r="O908" s="2">
        <v>69.0</v>
      </c>
      <c r="P908" s="2" t="s">
        <v>135</v>
      </c>
      <c r="Q908" s="2" t="s">
        <v>1693</v>
      </c>
      <c r="S908" s="2">
        <v>54.0</v>
      </c>
      <c r="T908" s="2" t="s">
        <v>65</v>
      </c>
      <c r="U908" s="2" t="s">
        <v>1693</v>
      </c>
      <c r="AI908" s="2" t="str">
        <f t="shared" si="18"/>
        <v/>
      </c>
      <c r="AJ908" s="2" t="s">
        <v>49</v>
      </c>
      <c r="AK908" s="2" t="s">
        <v>50</v>
      </c>
    </row>
    <row r="909" ht="15.75" customHeight="1">
      <c r="A909" s="2" t="s">
        <v>1347</v>
      </c>
      <c r="B909" s="3" t="str">
        <f>HYPERLINK("https://www.senado.gob.ar/parlamentario/comisiones/verExp/28.25/PE/DC","28")</f>
        <v>28</v>
      </c>
      <c r="C909" s="3" t="str">
        <f>HYPERLINK("https://www.senado.gob.ar/parlamentario/comisiones/verExp/28.25/PE/DC","2025")</f>
        <v>2025</v>
      </c>
      <c r="D909" s="2" t="s">
        <v>1348</v>
      </c>
      <c r="E909" s="2" t="s">
        <v>1710</v>
      </c>
      <c r="F909" s="2" t="s">
        <v>969</v>
      </c>
      <c r="I909" s="2" t="s">
        <v>962</v>
      </c>
      <c r="K909" s="2" t="s">
        <v>44</v>
      </c>
      <c r="L909" s="2" t="s">
        <v>962</v>
      </c>
      <c r="O909" s="2">
        <v>105.0</v>
      </c>
      <c r="P909" s="2" t="s">
        <v>1350</v>
      </c>
      <c r="Q909" s="2" t="s">
        <v>1711</v>
      </c>
      <c r="AI909" s="2" t="str">
        <f t="shared" si="18"/>
        <v/>
      </c>
      <c r="AJ909" s="2" t="s">
        <v>49</v>
      </c>
      <c r="AK909" s="2" t="s">
        <v>50</v>
      </c>
    </row>
    <row r="910" ht="15.75" customHeight="1">
      <c r="A910" s="2" t="s">
        <v>39</v>
      </c>
      <c r="B910" s="3" t="str">
        <f>HYPERLINK("https://www.senado.gob.ar/parlamentario/comisiones/verExp/28.25/S/PL","28")</f>
        <v>28</v>
      </c>
      <c r="C910" s="3" t="str">
        <f>HYPERLINK("https://www.senado.gob.ar/parlamentario/comisiones/verExp/28.25/S/PL","2025")</f>
        <v>2025</v>
      </c>
      <c r="D910" s="2" t="s">
        <v>56</v>
      </c>
      <c r="E910" s="2" t="s">
        <v>1712</v>
      </c>
      <c r="F910" s="2" t="s">
        <v>1677</v>
      </c>
      <c r="I910" s="2" t="s">
        <v>1590</v>
      </c>
      <c r="K910" s="2" t="s">
        <v>44</v>
      </c>
      <c r="L910" s="2" t="s">
        <v>1313</v>
      </c>
      <c r="N910" s="2" t="s">
        <v>980</v>
      </c>
      <c r="O910" s="2">
        <v>52.0</v>
      </c>
      <c r="P910" s="2" t="s">
        <v>78</v>
      </c>
      <c r="Q910" s="2" t="s">
        <v>1693</v>
      </c>
      <c r="AI910" s="2" t="str">
        <f t="shared" si="18"/>
        <v/>
      </c>
      <c r="AJ910" s="2" t="s">
        <v>49</v>
      </c>
      <c r="AK910" s="2" t="s">
        <v>50</v>
      </c>
    </row>
    <row r="911" ht="15.75" customHeight="1">
      <c r="A911" s="2" t="s">
        <v>1347</v>
      </c>
      <c r="B911" s="3" t="str">
        <f>HYPERLINK("https://www.senado.gob.ar/parlamentario/comisiones/verExp/27.25/PE/DC","27")</f>
        <v>27</v>
      </c>
      <c r="C911" s="3" t="str">
        <f>HYPERLINK("https://www.senado.gob.ar/parlamentario/comisiones/verExp/27.25/PE/DC","2025")</f>
        <v>2025</v>
      </c>
      <c r="D911" s="2" t="s">
        <v>1348</v>
      </c>
      <c r="E911" s="2" t="s">
        <v>1713</v>
      </c>
      <c r="F911" s="2" t="s">
        <v>971</v>
      </c>
      <c r="I911" s="2" t="s">
        <v>973</v>
      </c>
      <c r="K911" s="2" t="s">
        <v>44</v>
      </c>
      <c r="L911" s="2" t="s">
        <v>973</v>
      </c>
      <c r="O911" s="2">
        <v>315.0</v>
      </c>
      <c r="P911" s="2" t="s">
        <v>271</v>
      </c>
      <c r="Q911" s="2" t="s">
        <v>974</v>
      </c>
      <c r="AI911" s="2" t="str">
        <f t="shared" si="18"/>
        <v/>
      </c>
      <c r="AJ911" s="2" t="s">
        <v>49</v>
      </c>
      <c r="AK911" s="2" t="s">
        <v>50</v>
      </c>
    </row>
    <row r="912" ht="15.75" customHeight="1">
      <c r="A912" s="2" t="s">
        <v>39</v>
      </c>
      <c r="B912" s="3" t="str">
        <f>HYPERLINK("https://www.senado.gob.ar/parlamentario/comisiones/verExp/27.25/S/PL","27")</f>
        <v>27</v>
      </c>
      <c r="C912" s="3" t="str">
        <f>HYPERLINK("https://www.senado.gob.ar/parlamentario/comisiones/verExp/27.25/S/PL","2025")</f>
        <v>2025</v>
      </c>
      <c r="D912" s="2" t="s">
        <v>56</v>
      </c>
      <c r="E912" s="2" t="s">
        <v>1714</v>
      </c>
      <c r="F912" s="2" t="s">
        <v>1677</v>
      </c>
      <c r="I912" s="2" t="s">
        <v>1590</v>
      </c>
      <c r="K912" s="2" t="s">
        <v>44</v>
      </c>
      <c r="L912" s="2" t="s">
        <v>1313</v>
      </c>
      <c r="N912" s="2" t="s">
        <v>980</v>
      </c>
      <c r="O912" s="2">
        <v>52.0</v>
      </c>
      <c r="P912" s="2" t="s">
        <v>78</v>
      </c>
      <c r="Q912" s="2" t="s">
        <v>1693</v>
      </c>
      <c r="AI912" s="2" t="str">
        <f t="shared" si="18"/>
        <v/>
      </c>
      <c r="AJ912" s="2" t="s">
        <v>49</v>
      </c>
      <c r="AK912" s="2" t="s">
        <v>50</v>
      </c>
    </row>
    <row r="913" ht="15.75" customHeight="1">
      <c r="A913" s="2" t="s">
        <v>1347</v>
      </c>
      <c r="B913" s="3" t="str">
        <f>HYPERLINK("https://www.senado.gob.ar/parlamentario/comisiones/verExp/26.25/PE/CE","26")</f>
        <v>26</v>
      </c>
      <c r="C913" s="3" t="str">
        <f>HYPERLINK("https://www.senado.gob.ar/parlamentario/comisiones/verExp/26.25/PE/CE","2025")</f>
        <v>2025</v>
      </c>
      <c r="D913" s="2" t="s">
        <v>1353</v>
      </c>
      <c r="E913" s="2" t="s">
        <v>1715</v>
      </c>
      <c r="F913" s="2" t="s">
        <v>602</v>
      </c>
      <c r="I913" s="2" t="s">
        <v>979</v>
      </c>
      <c r="K913" s="2" t="s">
        <v>44</v>
      </c>
      <c r="L913" s="2" t="s">
        <v>979</v>
      </c>
      <c r="O913" s="2">
        <v>54.0</v>
      </c>
      <c r="P913" s="2" t="s">
        <v>65</v>
      </c>
      <c r="Q913" s="2" t="s">
        <v>1716</v>
      </c>
      <c r="S913" s="2">
        <v>474.0</v>
      </c>
      <c r="T913" s="2" t="s">
        <v>1370</v>
      </c>
      <c r="U913" s="2" t="s">
        <v>992</v>
      </c>
      <c r="AI913" s="2" t="str">
        <f t="shared" si="18"/>
        <v/>
      </c>
      <c r="AJ913" s="2" t="s">
        <v>49</v>
      </c>
      <c r="AK913" s="2" t="s">
        <v>50</v>
      </c>
    </row>
    <row r="914" ht="15.75" customHeight="1">
      <c r="A914" s="2" t="s">
        <v>39</v>
      </c>
      <c r="B914" s="3" t="str">
        <f>HYPERLINK("https://www.senado.gob.ar/parlamentario/comisiones/verExp/26.25/S/PL","26")</f>
        <v>26</v>
      </c>
      <c r="C914" s="3" t="str">
        <f>HYPERLINK("https://www.senado.gob.ar/parlamentario/comisiones/verExp/26.25/S/PL","2025")</f>
        <v>2025</v>
      </c>
      <c r="D914" s="2" t="s">
        <v>56</v>
      </c>
      <c r="E914" s="2" t="s">
        <v>1717</v>
      </c>
      <c r="F914" s="2" t="s">
        <v>1677</v>
      </c>
      <c r="I914" s="2" t="s">
        <v>1590</v>
      </c>
      <c r="K914" s="2" t="s">
        <v>44</v>
      </c>
      <c r="L914" s="2" t="s">
        <v>1313</v>
      </c>
      <c r="N914" s="2" t="s">
        <v>980</v>
      </c>
      <c r="O914" s="2">
        <v>53.0</v>
      </c>
      <c r="P914" s="2" t="s">
        <v>76</v>
      </c>
      <c r="Q914" s="2" t="s">
        <v>1693</v>
      </c>
      <c r="AI914" s="2" t="str">
        <f t="shared" si="18"/>
        <v/>
      </c>
      <c r="AJ914" s="2" t="s">
        <v>49</v>
      </c>
      <c r="AK914" s="2" t="s">
        <v>50</v>
      </c>
    </row>
    <row r="915" ht="15.75" customHeight="1">
      <c r="A915" s="2" t="s">
        <v>1141</v>
      </c>
      <c r="B915" s="3" t="str">
        <f>HYPERLINK("https://www.senado.gob.ar/parlamentario/comisiones/verExp/25.25/OV/CA","25")</f>
        <v>25</v>
      </c>
      <c r="C915" s="3" t="str">
        <f>HYPERLINK("https://www.senado.gob.ar/parlamentario/comisiones/verExp/25.25/OV/CA","2025")</f>
        <v>2025</v>
      </c>
      <c r="D915" s="2" t="s">
        <v>1219</v>
      </c>
      <c r="E915" s="2" t="s">
        <v>1718</v>
      </c>
      <c r="F915" s="2" t="s">
        <v>1604</v>
      </c>
      <c r="I915" s="2" t="s">
        <v>1122</v>
      </c>
      <c r="K915" s="2" t="s">
        <v>44</v>
      </c>
      <c r="L915" s="2" t="s">
        <v>1112</v>
      </c>
      <c r="O915" s="2">
        <v>100.0</v>
      </c>
      <c r="P915" s="2" t="s">
        <v>1146</v>
      </c>
      <c r="Q915" s="2" t="s">
        <v>1123</v>
      </c>
      <c r="AI915" s="2" t="str">
        <f t="shared" si="18"/>
        <v/>
      </c>
      <c r="AJ915" s="2" t="s">
        <v>49</v>
      </c>
      <c r="AK915" s="2" t="s">
        <v>50</v>
      </c>
    </row>
    <row r="916" ht="15.75" customHeight="1">
      <c r="A916" s="2" t="s">
        <v>1347</v>
      </c>
      <c r="B916" s="3" t="str">
        <f>HYPERLINK("https://www.senado.gob.ar/parlamentario/comisiones/verExp/25.25/PE/DC","25")</f>
        <v>25</v>
      </c>
      <c r="C916" s="3" t="str">
        <f>HYPERLINK("https://www.senado.gob.ar/parlamentario/comisiones/verExp/25.25/PE/DC","2025")</f>
        <v>2025</v>
      </c>
      <c r="D916" s="2" t="s">
        <v>1348</v>
      </c>
      <c r="E916" s="2" t="s">
        <v>1719</v>
      </c>
      <c r="F916" s="2" t="s">
        <v>1720</v>
      </c>
      <c r="I916" s="2" t="s">
        <v>1013</v>
      </c>
      <c r="K916" s="2" t="s">
        <v>44</v>
      </c>
      <c r="L916" s="2" t="s">
        <v>1013</v>
      </c>
      <c r="O916" s="2">
        <v>105.0</v>
      </c>
      <c r="P916" s="2" t="s">
        <v>1350</v>
      </c>
      <c r="Q916" s="2" t="s">
        <v>1721</v>
      </c>
      <c r="AI916" s="2" t="str">
        <f t="shared" si="18"/>
        <v/>
      </c>
      <c r="AJ916" s="2" t="s">
        <v>49</v>
      </c>
      <c r="AK916" s="2" t="s">
        <v>50</v>
      </c>
    </row>
    <row r="917" ht="15.75" customHeight="1">
      <c r="A917" s="2" t="s">
        <v>39</v>
      </c>
      <c r="B917" s="3" t="str">
        <f>HYPERLINK("https://www.senado.gob.ar/parlamentario/comisiones/verExp/25.25/S/PL","25")</f>
        <v>25</v>
      </c>
      <c r="C917" s="3" t="str">
        <f>HYPERLINK("https://www.senado.gob.ar/parlamentario/comisiones/verExp/25.25/S/PL","2025")</f>
        <v>2025</v>
      </c>
      <c r="D917" s="2" t="s">
        <v>56</v>
      </c>
      <c r="E917" s="2" t="s">
        <v>1722</v>
      </c>
      <c r="F917" s="2" t="s">
        <v>1677</v>
      </c>
      <c r="I917" s="2" t="s">
        <v>1590</v>
      </c>
      <c r="K917" s="2" t="s">
        <v>44</v>
      </c>
      <c r="L917" s="2" t="s">
        <v>1313</v>
      </c>
      <c r="N917" s="2" t="s">
        <v>980</v>
      </c>
      <c r="O917" s="2">
        <v>55.0</v>
      </c>
      <c r="P917" s="2" t="s">
        <v>336</v>
      </c>
      <c r="Q917" s="2" t="s">
        <v>1693</v>
      </c>
      <c r="AI917" s="2" t="str">
        <f t="shared" si="18"/>
        <v/>
      </c>
      <c r="AJ917" s="2" t="s">
        <v>49</v>
      </c>
      <c r="AK917" s="2" t="s">
        <v>50</v>
      </c>
    </row>
    <row r="918" ht="15.75" customHeight="1">
      <c r="A918" s="2" t="s">
        <v>1723</v>
      </c>
      <c r="B918" s="3" t="str">
        <f>HYPERLINK("https://www.senado.gob.ar/parlamentario/comisiones/verExp/24.25/CD/PL","24")</f>
        <v>24</v>
      </c>
      <c r="C918" s="3" t="str">
        <f>HYPERLINK("https://www.senado.gob.ar/parlamentario/comisiones/verExp/24.25/CD/PL","2025")</f>
        <v>2025</v>
      </c>
      <c r="D918" s="2" t="s">
        <v>56</v>
      </c>
      <c r="E918" s="2" t="s">
        <v>1724</v>
      </c>
      <c r="F918" s="2" t="s">
        <v>330</v>
      </c>
      <c r="I918" s="2" t="s">
        <v>341</v>
      </c>
      <c r="K918" s="2" t="s">
        <v>44</v>
      </c>
      <c r="L918" s="2" t="s">
        <v>338</v>
      </c>
      <c r="O918" s="2">
        <v>50.0</v>
      </c>
      <c r="P918" s="2" t="s">
        <v>47</v>
      </c>
      <c r="Q918" s="2" t="s">
        <v>1449</v>
      </c>
      <c r="S918" s="2">
        <v>70.0</v>
      </c>
      <c r="T918" s="2" t="s">
        <v>166</v>
      </c>
      <c r="U918" s="2" t="s">
        <v>1449</v>
      </c>
      <c r="W918" s="2">
        <v>54.0</v>
      </c>
      <c r="X918" s="2" t="s">
        <v>65</v>
      </c>
      <c r="Y918" s="2" t="s">
        <v>1449</v>
      </c>
      <c r="AI918" s="2" t="str">
        <f t="shared" si="18"/>
        <v/>
      </c>
      <c r="AJ918" s="2" t="s">
        <v>49</v>
      </c>
      <c r="AK918" s="2" t="s">
        <v>50</v>
      </c>
    </row>
    <row r="919" ht="15.75" customHeight="1">
      <c r="A919" s="2" t="s">
        <v>1141</v>
      </c>
      <c r="B919" s="3" t="str">
        <f>HYPERLINK("https://www.senado.gob.ar/parlamentario/comisiones/verExp/24.25/OV/CA","24")</f>
        <v>24</v>
      </c>
      <c r="C919" s="3" t="str">
        <f>HYPERLINK("https://www.senado.gob.ar/parlamentario/comisiones/verExp/24.25/OV/CA","2025")</f>
        <v>2025</v>
      </c>
      <c r="D919" s="2" t="s">
        <v>1219</v>
      </c>
      <c r="E919" s="2" t="s">
        <v>1725</v>
      </c>
      <c r="F919" s="2" t="s">
        <v>1604</v>
      </c>
      <c r="I919" s="2" t="s">
        <v>1122</v>
      </c>
      <c r="K919" s="2" t="s">
        <v>44</v>
      </c>
      <c r="L919" s="2" t="s">
        <v>1112</v>
      </c>
      <c r="O919" s="2">
        <v>100.0</v>
      </c>
      <c r="P919" s="2" t="s">
        <v>1146</v>
      </c>
      <c r="Q919" s="2" t="s">
        <v>1123</v>
      </c>
      <c r="AI919" s="2" t="str">
        <f t="shared" si="18"/>
        <v/>
      </c>
      <c r="AJ919" s="2" t="s">
        <v>49</v>
      </c>
      <c r="AK919" s="2" t="s">
        <v>50</v>
      </c>
    </row>
    <row r="920" ht="15.75" customHeight="1">
      <c r="A920" s="2" t="s">
        <v>1347</v>
      </c>
      <c r="B920" s="3" t="str">
        <f>HYPERLINK("https://www.senado.gob.ar/parlamentario/comisiones/verExp/24.25/PE/DC","24")</f>
        <v>24</v>
      </c>
      <c r="C920" s="3" t="str">
        <f>HYPERLINK("https://www.senado.gob.ar/parlamentario/comisiones/verExp/24.25/PE/DC","2025")</f>
        <v>2025</v>
      </c>
      <c r="D920" s="2" t="s">
        <v>1348</v>
      </c>
      <c r="E920" s="2" t="s">
        <v>1726</v>
      </c>
      <c r="F920" s="2" t="s">
        <v>1720</v>
      </c>
      <c r="I920" s="2" t="s">
        <v>1016</v>
      </c>
      <c r="K920" s="2" t="s">
        <v>44</v>
      </c>
      <c r="L920" s="2" t="s">
        <v>1016</v>
      </c>
      <c r="O920" s="2">
        <v>105.0</v>
      </c>
      <c r="P920" s="2" t="s">
        <v>1350</v>
      </c>
      <c r="Q920" s="2" t="s">
        <v>1727</v>
      </c>
      <c r="AI920" s="2" t="str">
        <f t="shared" si="18"/>
        <v/>
      </c>
      <c r="AJ920" s="2" t="s">
        <v>49</v>
      </c>
      <c r="AK920" s="2" t="s">
        <v>50</v>
      </c>
    </row>
    <row r="921" ht="15.75" customHeight="1">
      <c r="A921" s="2" t="s">
        <v>39</v>
      </c>
      <c r="B921" s="3" t="str">
        <f>HYPERLINK("https://www.senado.gob.ar/parlamentario/comisiones/verExp/24.25/S/PL","24")</f>
        <v>24</v>
      </c>
      <c r="C921" s="3" t="str">
        <f>HYPERLINK("https://www.senado.gob.ar/parlamentario/comisiones/verExp/24.25/S/PL","2025")</f>
        <v>2025</v>
      </c>
      <c r="D921" s="2" t="s">
        <v>56</v>
      </c>
      <c r="E921" s="2" t="s">
        <v>1728</v>
      </c>
      <c r="F921" s="2" t="s">
        <v>1677</v>
      </c>
      <c r="I921" s="2" t="s">
        <v>1590</v>
      </c>
      <c r="K921" s="2" t="s">
        <v>44</v>
      </c>
      <c r="L921" s="2" t="s">
        <v>1313</v>
      </c>
      <c r="N921" s="2" t="s">
        <v>980</v>
      </c>
      <c r="O921" s="2">
        <v>67.0</v>
      </c>
      <c r="P921" s="2" t="s">
        <v>84</v>
      </c>
      <c r="Q921" s="2" t="s">
        <v>1693</v>
      </c>
      <c r="S921" s="2">
        <v>53.0</v>
      </c>
      <c r="T921" s="2" t="s">
        <v>76</v>
      </c>
      <c r="U921" s="2" t="s">
        <v>1693</v>
      </c>
      <c r="W921" s="2">
        <v>54.0</v>
      </c>
      <c r="X921" s="2" t="s">
        <v>65</v>
      </c>
      <c r="Y921" s="2" t="s">
        <v>1693</v>
      </c>
      <c r="AI921" s="2" t="str">
        <f t="shared" si="18"/>
        <v/>
      </c>
      <c r="AJ921" s="2" t="s">
        <v>49</v>
      </c>
      <c r="AK921" s="2" t="s">
        <v>50</v>
      </c>
    </row>
    <row r="922" ht="15.75" customHeight="1">
      <c r="A922" s="2" t="s">
        <v>1723</v>
      </c>
      <c r="B922" s="3" t="str">
        <f>HYPERLINK("https://www.senado.gob.ar/parlamentario/comisiones/verExp/23.25/CD/PL","23")</f>
        <v>23</v>
      </c>
      <c r="C922" s="3" t="str">
        <f>HYPERLINK("https://www.senado.gob.ar/parlamentario/comisiones/verExp/23.25/CD/PL","2025")</f>
        <v>2025</v>
      </c>
      <c r="D922" s="2" t="s">
        <v>56</v>
      </c>
      <c r="E922" s="2" t="s">
        <v>1729</v>
      </c>
      <c r="F922" s="2" t="s">
        <v>330</v>
      </c>
      <c r="I922" s="2" t="s">
        <v>341</v>
      </c>
      <c r="K922" s="2" t="s">
        <v>44</v>
      </c>
      <c r="L922" s="2" t="s">
        <v>338</v>
      </c>
      <c r="O922" s="2">
        <v>78.0</v>
      </c>
      <c r="P922" s="2" t="s">
        <v>73</v>
      </c>
      <c r="Q922" s="2" t="s">
        <v>1449</v>
      </c>
      <c r="S922" s="2">
        <v>54.0</v>
      </c>
      <c r="T922" s="2" t="s">
        <v>65</v>
      </c>
      <c r="U922" s="2" t="s">
        <v>1449</v>
      </c>
      <c r="AI922" s="2" t="str">
        <f t="shared" si="18"/>
        <v/>
      </c>
      <c r="AJ922" s="2" t="s">
        <v>49</v>
      </c>
      <c r="AK922" s="2" t="s">
        <v>50</v>
      </c>
    </row>
    <row r="923" ht="15.75" customHeight="1">
      <c r="A923" s="2" t="s">
        <v>1141</v>
      </c>
      <c r="B923" s="3" t="str">
        <f>HYPERLINK("https://www.senado.gob.ar/parlamentario/comisiones/verExp/23.25/OV/CA","23")</f>
        <v>23</v>
      </c>
      <c r="C923" s="3" t="str">
        <f>HYPERLINK("https://www.senado.gob.ar/parlamentario/comisiones/verExp/23.25/OV/CA","2025")</f>
        <v>2025</v>
      </c>
      <c r="D923" s="2" t="s">
        <v>1219</v>
      </c>
      <c r="E923" s="2" t="s">
        <v>1730</v>
      </c>
      <c r="F923" s="2" t="s">
        <v>1604</v>
      </c>
      <c r="I923" s="2" t="s">
        <v>1122</v>
      </c>
      <c r="K923" s="2" t="s">
        <v>44</v>
      </c>
      <c r="L923" s="2" t="s">
        <v>1112</v>
      </c>
      <c r="O923" s="2">
        <v>100.0</v>
      </c>
      <c r="P923" s="2" t="s">
        <v>1146</v>
      </c>
      <c r="Q923" s="2" t="s">
        <v>1123</v>
      </c>
      <c r="AI923" s="2" t="str">
        <f t="shared" si="18"/>
        <v/>
      </c>
      <c r="AJ923" s="2" t="s">
        <v>49</v>
      </c>
      <c r="AK923" s="2" t="s">
        <v>50</v>
      </c>
    </row>
    <row r="924" ht="15.75" customHeight="1">
      <c r="A924" s="2" t="s">
        <v>1347</v>
      </c>
      <c r="B924" s="3" t="str">
        <f>HYPERLINK("https://www.senado.gob.ar/parlamentario/comisiones/verExp/23.25/PE/DC","23")</f>
        <v>23</v>
      </c>
      <c r="C924" s="3" t="str">
        <f>HYPERLINK("https://www.senado.gob.ar/parlamentario/comisiones/verExp/23.25/PE/DC","2025")</f>
        <v>2025</v>
      </c>
      <c r="D924" s="2" t="s">
        <v>1348</v>
      </c>
      <c r="E924" s="2" t="s">
        <v>1731</v>
      </c>
      <c r="F924" s="2" t="s">
        <v>1732</v>
      </c>
      <c r="I924" s="2" t="s">
        <v>1034</v>
      </c>
      <c r="K924" s="2" t="s">
        <v>44</v>
      </c>
      <c r="L924" s="2" t="s">
        <v>1034</v>
      </c>
      <c r="O924" s="2">
        <v>105.0</v>
      </c>
      <c r="P924" s="2" t="s">
        <v>1350</v>
      </c>
      <c r="Q924" s="2" t="s">
        <v>1733</v>
      </c>
      <c r="AI924" s="2" t="str">
        <f t="shared" si="18"/>
        <v/>
      </c>
      <c r="AJ924" s="2" t="s">
        <v>49</v>
      </c>
      <c r="AK924" s="2" t="s">
        <v>50</v>
      </c>
    </row>
    <row r="925" ht="15.75" customHeight="1">
      <c r="A925" s="2" t="s">
        <v>39</v>
      </c>
      <c r="B925" s="3" t="str">
        <f>HYPERLINK("https://www.senado.gob.ar/parlamentario/comisiones/verExp/23.25/S/PL","23")</f>
        <v>23</v>
      </c>
      <c r="C925" s="3" t="str">
        <f>HYPERLINK("https://www.senado.gob.ar/parlamentario/comisiones/verExp/23.25/S/PL","2025")</f>
        <v>2025</v>
      </c>
      <c r="D925" s="2" t="s">
        <v>56</v>
      </c>
      <c r="E925" s="2" t="s">
        <v>1734</v>
      </c>
      <c r="F925" s="2" t="s">
        <v>1677</v>
      </c>
      <c r="I925" s="2" t="s">
        <v>1590</v>
      </c>
      <c r="K925" s="2" t="s">
        <v>44</v>
      </c>
      <c r="L925" s="2" t="s">
        <v>1313</v>
      </c>
      <c r="N925" s="2" t="s">
        <v>980</v>
      </c>
      <c r="O925" s="2">
        <v>69.0</v>
      </c>
      <c r="P925" s="2" t="s">
        <v>135</v>
      </c>
      <c r="Q925" s="2" t="s">
        <v>1693</v>
      </c>
      <c r="S925" s="2">
        <v>67.0</v>
      </c>
      <c r="T925" s="2" t="s">
        <v>84</v>
      </c>
      <c r="U925" s="2" t="s">
        <v>1693</v>
      </c>
      <c r="W925" s="2">
        <v>53.0</v>
      </c>
      <c r="X925" s="2" t="s">
        <v>76</v>
      </c>
      <c r="Y925" s="2" t="s">
        <v>1693</v>
      </c>
      <c r="AI925" s="2" t="str">
        <f t="shared" si="18"/>
        <v/>
      </c>
      <c r="AJ925" s="2" t="s">
        <v>49</v>
      </c>
      <c r="AK925" s="2" t="s">
        <v>50</v>
      </c>
    </row>
    <row r="926" ht="15.75" customHeight="1">
      <c r="A926" s="2" t="s">
        <v>1723</v>
      </c>
      <c r="B926" s="3" t="str">
        <f>HYPERLINK("https://www.senado.gob.ar/parlamentario/comisiones/verExp/22.25/CD/PL","22")</f>
        <v>22</v>
      </c>
      <c r="C926" s="3" t="str">
        <f>HYPERLINK("https://www.senado.gob.ar/parlamentario/comisiones/verExp/22.25/CD/PL","2025")</f>
        <v>2025</v>
      </c>
      <c r="D926" s="2" t="s">
        <v>56</v>
      </c>
      <c r="E926" s="2" t="s">
        <v>1735</v>
      </c>
      <c r="F926" s="2" t="s">
        <v>330</v>
      </c>
      <c r="I926" s="2" t="s">
        <v>341</v>
      </c>
      <c r="K926" s="2" t="s">
        <v>44</v>
      </c>
      <c r="L926" s="2" t="s">
        <v>338</v>
      </c>
      <c r="O926" s="2">
        <v>54.0</v>
      </c>
      <c r="P926" s="2" t="s">
        <v>65</v>
      </c>
      <c r="Q926" s="2" t="s">
        <v>1449</v>
      </c>
      <c r="S926" s="2">
        <v>74.0</v>
      </c>
      <c r="T926" s="2" t="s">
        <v>256</v>
      </c>
      <c r="U926" s="2" t="s">
        <v>1449</v>
      </c>
      <c r="AI926" s="2" t="str">
        <f t="shared" si="18"/>
        <v/>
      </c>
      <c r="AJ926" s="2" t="s">
        <v>49</v>
      </c>
      <c r="AK926" s="2" t="s">
        <v>50</v>
      </c>
    </row>
    <row r="927" ht="15.75" customHeight="1">
      <c r="A927" s="2" t="s">
        <v>1141</v>
      </c>
      <c r="B927" s="3" t="str">
        <f>HYPERLINK("https://www.senado.gob.ar/parlamentario/comisiones/verExp/22.25/OV/CA","22")</f>
        <v>22</v>
      </c>
      <c r="C927" s="3" t="str">
        <f>HYPERLINK("https://www.senado.gob.ar/parlamentario/comisiones/verExp/22.25/OV/CA","2025")</f>
        <v>2025</v>
      </c>
      <c r="D927" s="2" t="s">
        <v>1219</v>
      </c>
      <c r="E927" s="2" t="s">
        <v>1736</v>
      </c>
      <c r="F927" s="2" t="s">
        <v>1604</v>
      </c>
      <c r="I927" s="2" t="s">
        <v>1122</v>
      </c>
      <c r="K927" s="2" t="s">
        <v>44</v>
      </c>
      <c r="L927" s="2" t="s">
        <v>1112</v>
      </c>
      <c r="O927" s="2">
        <v>100.0</v>
      </c>
      <c r="P927" s="2" t="s">
        <v>1146</v>
      </c>
      <c r="Q927" s="2" t="s">
        <v>1123</v>
      </c>
      <c r="AI927" s="2" t="str">
        <f t="shared" si="18"/>
        <v/>
      </c>
      <c r="AJ927" s="2" t="s">
        <v>49</v>
      </c>
      <c r="AK927" s="2" t="s">
        <v>50</v>
      </c>
    </row>
    <row r="928" ht="15.75" customHeight="1">
      <c r="A928" s="2" t="s">
        <v>1347</v>
      </c>
      <c r="B928" s="3" t="str">
        <f>HYPERLINK("https://www.senado.gob.ar/parlamentario/comisiones/verExp/22.25/PE/CE","22")</f>
        <v>22</v>
      </c>
      <c r="C928" s="3" t="str">
        <f>HYPERLINK("https://www.senado.gob.ar/parlamentario/comisiones/verExp/22.25/PE/CE","2025")</f>
        <v>2025</v>
      </c>
      <c r="D928" s="2" t="s">
        <v>1353</v>
      </c>
      <c r="E928" s="2" t="s">
        <v>1737</v>
      </c>
      <c r="F928" s="2" t="s">
        <v>1604</v>
      </c>
      <c r="I928" s="2" t="s">
        <v>1070</v>
      </c>
      <c r="K928" s="2" t="s">
        <v>44</v>
      </c>
      <c r="L928" s="2" t="s">
        <v>1070</v>
      </c>
      <c r="O928" s="2">
        <v>54.0</v>
      </c>
      <c r="P928" s="2" t="s">
        <v>65</v>
      </c>
      <c r="Q928" s="2" t="s">
        <v>1738</v>
      </c>
      <c r="S928" s="2">
        <v>58.0</v>
      </c>
      <c r="T928" s="2" t="s">
        <v>194</v>
      </c>
      <c r="U928" s="2" t="s">
        <v>1738</v>
      </c>
      <c r="W928" s="2">
        <v>111.0</v>
      </c>
      <c r="X928" s="2" t="s">
        <v>1431</v>
      </c>
      <c r="Y928" s="2" t="s">
        <v>1738</v>
      </c>
      <c r="AI928" s="2" t="str">
        <f t="shared" si="18"/>
        <v/>
      </c>
      <c r="AJ928" s="2" t="s">
        <v>49</v>
      </c>
      <c r="AK928" s="2" t="s">
        <v>50</v>
      </c>
    </row>
    <row r="929" ht="15.75" customHeight="1">
      <c r="A929" s="2" t="s">
        <v>39</v>
      </c>
      <c r="B929" s="3" t="str">
        <f>HYPERLINK("https://www.senado.gob.ar/parlamentario/comisiones/verExp/22.25/S/PL","22")</f>
        <v>22</v>
      </c>
      <c r="C929" s="3" t="str">
        <f>HYPERLINK("https://www.senado.gob.ar/parlamentario/comisiones/verExp/22.25/S/PL","2025")</f>
        <v>2025</v>
      </c>
      <c r="D929" s="2" t="s">
        <v>56</v>
      </c>
      <c r="E929" s="2" t="s">
        <v>1739</v>
      </c>
      <c r="F929" s="2" t="s">
        <v>1677</v>
      </c>
      <c r="I929" s="2" t="s">
        <v>1590</v>
      </c>
      <c r="K929" s="2" t="s">
        <v>44</v>
      </c>
      <c r="L929" s="2" t="s">
        <v>1313</v>
      </c>
      <c r="N929" s="2" t="s">
        <v>980</v>
      </c>
      <c r="O929" s="2">
        <v>53.0</v>
      </c>
      <c r="P929" s="2" t="s">
        <v>76</v>
      </c>
      <c r="Q929" s="2" t="s">
        <v>1693</v>
      </c>
      <c r="S929" s="2">
        <v>78.0</v>
      </c>
      <c r="T929" s="2" t="s">
        <v>73</v>
      </c>
      <c r="U929" s="2" t="s">
        <v>1693</v>
      </c>
      <c r="W929" s="2">
        <v>61.0</v>
      </c>
      <c r="X929" s="2" t="s">
        <v>104</v>
      </c>
      <c r="Y929" s="2" t="s">
        <v>1693</v>
      </c>
      <c r="AI929" s="2" t="str">
        <f t="shared" si="18"/>
        <v/>
      </c>
      <c r="AJ929" s="2" t="s">
        <v>49</v>
      </c>
      <c r="AK929" s="2" t="s">
        <v>50</v>
      </c>
    </row>
    <row r="930" ht="15.75" customHeight="1">
      <c r="A930" s="2" t="s">
        <v>1723</v>
      </c>
      <c r="B930" s="3" t="str">
        <f>HYPERLINK("https://www.senado.gob.ar/parlamentario/comisiones/verExp/21.25/CD/PL","21")</f>
        <v>21</v>
      </c>
      <c r="C930" s="3" t="str">
        <f>HYPERLINK("https://www.senado.gob.ar/parlamentario/comisiones/verExp/21.25/CD/PL","2025")</f>
        <v>2025</v>
      </c>
      <c r="D930" s="2" t="s">
        <v>56</v>
      </c>
      <c r="E930" s="2" t="s">
        <v>1740</v>
      </c>
      <c r="F930" s="2" t="s">
        <v>330</v>
      </c>
      <c r="I930" s="2" t="s">
        <v>341</v>
      </c>
      <c r="K930" s="2" t="s">
        <v>44</v>
      </c>
      <c r="L930" s="2" t="s">
        <v>338</v>
      </c>
      <c r="O930" s="2">
        <v>56.0</v>
      </c>
      <c r="P930" s="2" t="s">
        <v>262</v>
      </c>
      <c r="Q930" s="2" t="s">
        <v>1449</v>
      </c>
      <c r="S930" s="2">
        <v>75.0</v>
      </c>
      <c r="T930" s="2" t="s">
        <v>71</v>
      </c>
      <c r="U930" s="2" t="s">
        <v>1449</v>
      </c>
      <c r="AI930" s="2" t="str">
        <f t="shared" si="18"/>
        <v/>
      </c>
      <c r="AJ930" s="2" t="s">
        <v>49</v>
      </c>
      <c r="AK930" s="2" t="s">
        <v>50</v>
      </c>
    </row>
    <row r="931" ht="15.75" customHeight="1">
      <c r="A931" s="2" t="s">
        <v>1141</v>
      </c>
      <c r="B931" s="3" t="str">
        <f>HYPERLINK("https://www.senado.gob.ar/parlamentario/comisiones/verExp/21.25/OV/CA","21")</f>
        <v>21</v>
      </c>
      <c r="C931" s="3" t="str">
        <f>HYPERLINK("https://www.senado.gob.ar/parlamentario/comisiones/verExp/21.25/OV/CA","2025")</f>
        <v>2025</v>
      </c>
      <c r="D931" s="2" t="s">
        <v>1219</v>
      </c>
      <c r="E931" s="2" t="s">
        <v>1741</v>
      </c>
      <c r="F931" s="2" t="s">
        <v>1604</v>
      </c>
      <c r="I931" s="2" t="s">
        <v>1122</v>
      </c>
      <c r="K931" s="2" t="s">
        <v>44</v>
      </c>
      <c r="L931" s="2" t="s">
        <v>1112</v>
      </c>
      <c r="O931" s="2">
        <v>100.0</v>
      </c>
      <c r="P931" s="2" t="s">
        <v>1146</v>
      </c>
      <c r="Q931" s="2" t="s">
        <v>1123</v>
      </c>
      <c r="AI931" s="2" t="str">
        <f t="shared" si="18"/>
        <v/>
      </c>
      <c r="AJ931" s="2" t="s">
        <v>49</v>
      </c>
      <c r="AK931" s="2" t="s">
        <v>50</v>
      </c>
    </row>
    <row r="932" ht="15.75" customHeight="1">
      <c r="A932" s="2" t="s">
        <v>1347</v>
      </c>
      <c r="B932" s="3" t="str">
        <f>HYPERLINK("https://www.senado.gob.ar/parlamentario/comisiones/verExp/21.25/PE/DC","21")</f>
        <v>21</v>
      </c>
      <c r="C932" s="3" t="str">
        <f>HYPERLINK("https://www.senado.gob.ar/parlamentario/comisiones/verExp/21.25/PE/DC","2025")</f>
        <v>2025</v>
      </c>
      <c r="D932" s="2" t="s">
        <v>1348</v>
      </c>
      <c r="E932" s="2" t="s">
        <v>1742</v>
      </c>
      <c r="F932" s="2" t="s">
        <v>1085</v>
      </c>
      <c r="I932" s="2" t="s">
        <v>1086</v>
      </c>
      <c r="K932" s="2" t="s">
        <v>44</v>
      </c>
      <c r="L932" s="2" t="s">
        <v>1086</v>
      </c>
      <c r="O932" s="2">
        <v>105.0</v>
      </c>
      <c r="P932" s="2" t="s">
        <v>1350</v>
      </c>
      <c r="Q932" s="2" t="s">
        <v>1743</v>
      </c>
      <c r="AI932" s="2" t="str">
        <f t="shared" si="18"/>
        <v/>
      </c>
      <c r="AJ932" s="2" t="s">
        <v>49</v>
      </c>
      <c r="AK932" s="2" t="s">
        <v>50</v>
      </c>
    </row>
    <row r="933" ht="15.75" customHeight="1">
      <c r="A933" s="2" t="s">
        <v>39</v>
      </c>
      <c r="B933" s="3" t="str">
        <f>HYPERLINK("https://www.senado.gob.ar/parlamentario/comisiones/verExp/21.25/S/PL","21")</f>
        <v>21</v>
      </c>
      <c r="C933" s="3" t="str">
        <f>HYPERLINK("https://www.senado.gob.ar/parlamentario/comisiones/verExp/21.25/S/PL","2025")</f>
        <v>2025</v>
      </c>
      <c r="D933" s="2" t="s">
        <v>56</v>
      </c>
      <c r="E933" s="2" t="s">
        <v>1744</v>
      </c>
      <c r="F933" s="2" t="s">
        <v>1745</v>
      </c>
      <c r="I933" s="2" t="s">
        <v>1590</v>
      </c>
      <c r="K933" s="2" t="s">
        <v>44</v>
      </c>
      <c r="L933" s="2" t="s">
        <v>1313</v>
      </c>
      <c r="N933" s="2" t="s">
        <v>980</v>
      </c>
      <c r="O933" s="2">
        <v>78.0</v>
      </c>
      <c r="P933" s="2" t="s">
        <v>73</v>
      </c>
      <c r="Q933" s="2" t="s">
        <v>1693</v>
      </c>
      <c r="S933" s="2">
        <v>75.0</v>
      </c>
      <c r="T933" s="2" t="s">
        <v>71</v>
      </c>
      <c r="U933" s="2" t="s">
        <v>1693</v>
      </c>
      <c r="AI933" s="2" t="str">
        <f t="shared" si="18"/>
        <v/>
      </c>
      <c r="AJ933" s="2" t="s">
        <v>49</v>
      </c>
      <c r="AK933" s="2" t="s">
        <v>50</v>
      </c>
    </row>
    <row r="934" ht="15.75" customHeight="1">
      <c r="A934" s="2" t="s">
        <v>1141</v>
      </c>
      <c r="B934" s="3" t="str">
        <f>HYPERLINK("https://www.senado.gob.ar/parlamentario/comisiones/verExp/20.25/OV/CA","20")</f>
        <v>20</v>
      </c>
      <c r="C934" s="3" t="str">
        <f>HYPERLINK("https://www.senado.gob.ar/parlamentario/comisiones/verExp/20.25/OV/CA","2025")</f>
        <v>2025</v>
      </c>
      <c r="D934" s="2" t="s">
        <v>1219</v>
      </c>
      <c r="E934" s="2" t="s">
        <v>1746</v>
      </c>
      <c r="F934" s="2" t="s">
        <v>1604</v>
      </c>
      <c r="I934" s="2" t="s">
        <v>1242</v>
      </c>
      <c r="K934" s="2" t="s">
        <v>44</v>
      </c>
      <c r="L934" s="2" t="s">
        <v>1227</v>
      </c>
      <c r="O934" s="2">
        <v>100.0</v>
      </c>
      <c r="P934" s="2" t="s">
        <v>1146</v>
      </c>
      <c r="Q934" s="2" t="s">
        <v>1255</v>
      </c>
      <c r="AI934" s="2" t="str">
        <f t="shared" si="18"/>
        <v/>
      </c>
      <c r="AJ934" s="2" t="s">
        <v>49</v>
      </c>
      <c r="AK934" s="2" t="s">
        <v>50</v>
      </c>
    </row>
    <row r="935" ht="15.75" customHeight="1">
      <c r="A935" s="2" t="s">
        <v>1747</v>
      </c>
      <c r="B935" s="3" t="str">
        <f>HYPERLINK("https://www.senado.gob.ar/parlamentario/comisiones/verExp/20.25/P/PP","20")</f>
        <v>20</v>
      </c>
      <c r="C935" s="3" t="str">
        <f>HYPERLINK("https://www.senado.gob.ar/parlamentario/comisiones/verExp/20.25/P/PP","2025")</f>
        <v>2025</v>
      </c>
      <c r="D935" s="2" t="s">
        <v>1748</v>
      </c>
      <c r="E935" s="2" t="s">
        <v>1749</v>
      </c>
      <c r="F935" s="2" t="s">
        <v>340</v>
      </c>
      <c r="I935" s="2" t="s">
        <v>177</v>
      </c>
      <c r="K935" s="2" t="s">
        <v>44</v>
      </c>
      <c r="L935" s="2" t="s">
        <v>177</v>
      </c>
      <c r="O935" s="2">
        <v>50.0</v>
      </c>
      <c r="P935" s="2" t="s">
        <v>47</v>
      </c>
      <c r="Q935" s="2" t="s">
        <v>1424</v>
      </c>
      <c r="AI935" s="2" t="str">
        <f t="shared" si="18"/>
        <v/>
      </c>
      <c r="AJ935" s="2" t="s">
        <v>49</v>
      </c>
      <c r="AK935" s="2" t="s">
        <v>50</v>
      </c>
    </row>
    <row r="936" ht="15.75" customHeight="1">
      <c r="A936" s="2" t="s">
        <v>1347</v>
      </c>
      <c r="B936" s="3" t="str">
        <f>HYPERLINK("https://www.senado.gob.ar/parlamentario/comisiones/verExp/20.25/PE/DC","20")</f>
        <v>20</v>
      </c>
      <c r="C936" s="3" t="str">
        <f>HYPERLINK("https://www.senado.gob.ar/parlamentario/comisiones/verExp/20.25/PE/DC","2025")</f>
        <v>2025</v>
      </c>
      <c r="D936" s="2" t="s">
        <v>1348</v>
      </c>
      <c r="E936" s="2" t="s">
        <v>1750</v>
      </c>
      <c r="F936" s="2" t="s">
        <v>1085</v>
      </c>
      <c r="I936" s="2" t="s">
        <v>1086</v>
      </c>
      <c r="K936" s="2" t="s">
        <v>44</v>
      </c>
      <c r="L936" s="2" t="s">
        <v>1086</v>
      </c>
      <c r="O936" s="2">
        <v>105.0</v>
      </c>
      <c r="P936" s="2" t="s">
        <v>1350</v>
      </c>
      <c r="Q936" s="2" t="s">
        <v>1743</v>
      </c>
      <c r="AI936" s="2" t="str">
        <f t="shared" si="18"/>
        <v/>
      </c>
      <c r="AJ936" s="2" t="s">
        <v>49</v>
      </c>
      <c r="AK936" s="2" t="s">
        <v>50</v>
      </c>
    </row>
    <row r="937" ht="15.75" customHeight="1">
      <c r="A937" s="2" t="s">
        <v>39</v>
      </c>
      <c r="B937" s="3" t="str">
        <f>HYPERLINK("https://www.senado.gob.ar/parlamentario/comisiones/verExp/20.25/S/PL","20")</f>
        <v>20</v>
      </c>
      <c r="C937" s="3" t="str">
        <f>HYPERLINK("https://www.senado.gob.ar/parlamentario/comisiones/verExp/20.25/S/PL","2025")</f>
        <v>2025</v>
      </c>
      <c r="D937" s="2" t="s">
        <v>56</v>
      </c>
      <c r="E937" s="2" t="s">
        <v>1751</v>
      </c>
      <c r="F937" s="2" t="s">
        <v>1745</v>
      </c>
      <c r="I937" s="2" t="s">
        <v>1590</v>
      </c>
      <c r="K937" s="2" t="s">
        <v>44</v>
      </c>
      <c r="L937" s="2" t="s">
        <v>1313</v>
      </c>
      <c r="N937" s="2" t="s">
        <v>980</v>
      </c>
      <c r="O937" s="2">
        <v>67.0</v>
      </c>
      <c r="P937" s="2" t="s">
        <v>84</v>
      </c>
      <c r="Q937" s="2" t="s">
        <v>1693</v>
      </c>
      <c r="S937" s="2">
        <v>54.0</v>
      </c>
      <c r="T937" s="2" t="s">
        <v>65</v>
      </c>
      <c r="U937" s="2" t="s">
        <v>1693</v>
      </c>
      <c r="AI937" s="2" t="str">
        <f t="shared" si="18"/>
        <v/>
      </c>
      <c r="AJ937" s="2" t="s">
        <v>49</v>
      </c>
      <c r="AK937" s="2" t="s">
        <v>50</v>
      </c>
    </row>
    <row r="938" ht="15.75" customHeight="1">
      <c r="A938" s="2" t="s">
        <v>1747</v>
      </c>
      <c r="B938" s="3" t="str">
        <f>HYPERLINK("https://www.senado.gob.ar/parlamentario/comisiones/verExp/19.25/P/PP","19")</f>
        <v>19</v>
      </c>
      <c r="C938" s="3" t="str">
        <f>HYPERLINK("https://www.senado.gob.ar/parlamentario/comisiones/verExp/19.25/P/PP","2025")</f>
        <v>2025</v>
      </c>
      <c r="D938" s="2" t="s">
        <v>1748</v>
      </c>
      <c r="E938" s="2" t="s">
        <v>1752</v>
      </c>
      <c r="F938" s="2" t="s">
        <v>340</v>
      </c>
      <c r="I938" s="2" t="s">
        <v>211</v>
      </c>
      <c r="K938" s="2" t="s">
        <v>44</v>
      </c>
      <c r="L938" s="2" t="s">
        <v>211</v>
      </c>
      <c r="O938" s="2">
        <v>50.0</v>
      </c>
      <c r="P938" s="2" t="s">
        <v>47</v>
      </c>
      <c r="Q938" s="2" t="s">
        <v>1428</v>
      </c>
      <c r="AI938" s="2" t="str">
        <f t="shared" si="18"/>
        <v/>
      </c>
      <c r="AJ938" s="2" t="s">
        <v>49</v>
      </c>
      <c r="AK938" s="2" t="s">
        <v>50</v>
      </c>
    </row>
    <row r="939" ht="15.75" customHeight="1">
      <c r="A939" s="2" t="s">
        <v>1347</v>
      </c>
      <c r="B939" s="3" t="str">
        <f>HYPERLINK("https://www.senado.gob.ar/parlamentario/comisiones/verExp/19.25/PE/CE","19")</f>
        <v>19</v>
      </c>
      <c r="C939" s="3" t="str">
        <f>HYPERLINK("https://www.senado.gob.ar/parlamentario/comisiones/verExp/19.25/PE/CE","2025")</f>
        <v>2025</v>
      </c>
      <c r="D939" s="2" t="s">
        <v>1353</v>
      </c>
      <c r="E939" s="2" t="s">
        <v>1753</v>
      </c>
      <c r="F939" s="2" t="s">
        <v>1604</v>
      </c>
      <c r="I939" s="2" t="s">
        <v>1089</v>
      </c>
      <c r="K939" s="2" t="s">
        <v>44</v>
      </c>
      <c r="L939" s="2" t="s">
        <v>1086</v>
      </c>
      <c r="O939" s="2">
        <v>54.0</v>
      </c>
      <c r="P939" s="2" t="s">
        <v>65</v>
      </c>
      <c r="Q939" s="2" t="s">
        <v>1743</v>
      </c>
      <c r="S939" s="2">
        <v>474.0</v>
      </c>
      <c r="T939" s="2" t="s">
        <v>1370</v>
      </c>
      <c r="U939" s="2" t="s">
        <v>1754</v>
      </c>
      <c r="AI939" s="2" t="str">
        <f t="shared" si="18"/>
        <v/>
      </c>
      <c r="AJ939" s="2" t="s">
        <v>49</v>
      </c>
      <c r="AK939" s="2" t="s">
        <v>50</v>
      </c>
    </row>
    <row r="940" ht="15.75" customHeight="1">
      <c r="A940" s="2" t="s">
        <v>39</v>
      </c>
      <c r="B940" s="3" t="str">
        <f>HYPERLINK("https://www.senado.gob.ar/parlamentario/comisiones/verExp/19.25/S/PL","19")</f>
        <v>19</v>
      </c>
      <c r="C940" s="3" t="str">
        <f>HYPERLINK("https://www.senado.gob.ar/parlamentario/comisiones/verExp/19.25/S/PL","2025")</f>
        <v>2025</v>
      </c>
      <c r="D940" s="2" t="s">
        <v>56</v>
      </c>
      <c r="E940" s="2" t="s">
        <v>1755</v>
      </c>
      <c r="F940" s="2" t="s">
        <v>1745</v>
      </c>
      <c r="I940" s="2" t="s">
        <v>1590</v>
      </c>
      <c r="K940" s="2" t="s">
        <v>44</v>
      </c>
      <c r="L940" s="2" t="s">
        <v>1313</v>
      </c>
      <c r="N940" s="2" t="s">
        <v>980</v>
      </c>
      <c r="O940" s="2">
        <v>52.0</v>
      </c>
      <c r="P940" s="2" t="s">
        <v>78</v>
      </c>
      <c r="Q940" s="2" t="s">
        <v>1693</v>
      </c>
      <c r="S940" s="2">
        <v>69.0</v>
      </c>
      <c r="T940" s="2" t="s">
        <v>135</v>
      </c>
      <c r="U940" s="2" t="s">
        <v>1693</v>
      </c>
      <c r="AI940" s="2" t="str">
        <f t="shared" si="18"/>
        <v/>
      </c>
      <c r="AJ940" s="2" t="s">
        <v>49</v>
      </c>
      <c r="AK940" s="2" t="s">
        <v>50</v>
      </c>
    </row>
    <row r="941" ht="15.75" customHeight="1">
      <c r="A941" s="2" t="s">
        <v>39</v>
      </c>
      <c r="B941" s="3" t="str">
        <f>HYPERLINK("https://www.senado.gob.ar/parlamentario/comisiones/verExp/18.25/S/PL","18")</f>
        <v>18</v>
      </c>
      <c r="C941" s="3" t="str">
        <f>HYPERLINK("https://www.senado.gob.ar/parlamentario/comisiones/verExp/18.25/S/PL","2025")</f>
        <v>2025</v>
      </c>
      <c r="D941" s="2" t="s">
        <v>56</v>
      </c>
      <c r="E941" s="2" t="s">
        <v>1756</v>
      </c>
      <c r="F941" s="2" t="s">
        <v>1745</v>
      </c>
      <c r="I941" s="2" t="s">
        <v>1590</v>
      </c>
      <c r="K941" s="2" t="s">
        <v>44</v>
      </c>
      <c r="L941" s="2" t="s">
        <v>1313</v>
      </c>
      <c r="N941" s="2" t="s">
        <v>980</v>
      </c>
      <c r="O941" s="2">
        <v>62.0</v>
      </c>
      <c r="P941" s="2" t="s">
        <v>205</v>
      </c>
      <c r="Q941" s="2" t="s">
        <v>1693</v>
      </c>
      <c r="S941" s="2">
        <v>58.0</v>
      </c>
      <c r="T941" s="2" t="s">
        <v>194</v>
      </c>
      <c r="U941" s="2" t="s">
        <v>1693</v>
      </c>
      <c r="W941" s="2">
        <v>54.0</v>
      </c>
      <c r="X941" s="2" t="s">
        <v>65</v>
      </c>
      <c r="Y941" s="2" t="s">
        <v>1693</v>
      </c>
      <c r="AI941" s="2" t="str">
        <f t="shared" si="18"/>
        <v/>
      </c>
      <c r="AJ941" s="2" t="s">
        <v>49</v>
      </c>
      <c r="AK941" s="2" t="s">
        <v>50</v>
      </c>
    </row>
    <row r="942" ht="15.75" customHeight="1">
      <c r="A942" s="2" t="s">
        <v>1347</v>
      </c>
      <c r="B942" s="3" t="str">
        <f>HYPERLINK("https://www.senado.gob.ar/parlamentario/comisiones/verExp/17.25/PE/CE","17")</f>
        <v>17</v>
      </c>
      <c r="C942" s="3" t="str">
        <f>HYPERLINK("https://www.senado.gob.ar/parlamentario/comisiones/verExp/17.25/PE/CE","2025")</f>
        <v>2025</v>
      </c>
      <c r="D942" s="2" t="s">
        <v>1353</v>
      </c>
      <c r="E942" s="2" t="s">
        <v>1757</v>
      </c>
      <c r="F942" s="2" t="s">
        <v>1117</v>
      </c>
      <c r="I942" s="2" t="s">
        <v>1118</v>
      </c>
      <c r="K942" s="2" t="s">
        <v>44</v>
      </c>
      <c r="L942" s="2" t="s">
        <v>1118</v>
      </c>
      <c r="O942" s="2">
        <v>315.0</v>
      </c>
      <c r="P942" s="2" t="s">
        <v>271</v>
      </c>
      <c r="Q942" s="2" t="s">
        <v>1120</v>
      </c>
      <c r="AI942" s="2" t="str">
        <f t="shared" si="18"/>
        <v/>
      </c>
      <c r="AJ942" s="2" t="s">
        <v>49</v>
      </c>
      <c r="AK942" s="2" t="s">
        <v>50</v>
      </c>
    </row>
    <row r="943" ht="15.75" customHeight="1">
      <c r="A943" s="2" t="s">
        <v>39</v>
      </c>
      <c r="B943" s="3" t="str">
        <f>HYPERLINK("https://www.senado.gob.ar/parlamentario/comisiones/verExp/17.25/S/PL","17")</f>
        <v>17</v>
      </c>
      <c r="C943" s="3" t="str">
        <f>HYPERLINK("https://www.senado.gob.ar/parlamentario/comisiones/verExp/17.25/S/PL","2025")</f>
        <v>2025</v>
      </c>
      <c r="D943" s="2" t="s">
        <v>56</v>
      </c>
      <c r="E943" s="2" t="s">
        <v>1758</v>
      </c>
      <c r="F943" s="2" t="s">
        <v>1745</v>
      </c>
      <c r="I943" s="2" t="s">
        <v>1590</v>
      </c>
      <c r="K943" s="2" t="s">
        <v>44</v>
      </c>
      <c r="L943" s="2" t="s">
        <v>1313</v>
      </c>
      <c r="N943" s="2" t="s">
        <v>980</v>
      </c>
      <c r="O943" s="2">
        <v>53.0</v>
      </c>
      <c r="P943" s="2" t="s">
        <v>76</v>
      </c>
      <c r="Q943" s="2" t="s">
        <v>1693</v>
      </c>
      <c r="S943" s="2">
        <v>70.0</v>
      </c>
      <c r="T943" s="2" t="s">
        <v>166</v>
      </c>
      <c r="U943" s="2" t="s">
        <v>1693</v>
      </c>
      <c r="W943" s="2">
        <v>54.0</v>
      </c>
      <c r="X943" s="2" t="s">
        <v>65</v>
      </c>
      <c r="Y943" s="2" t="s">
        <v>1693</v>
      </c>
      <c r="AI943" s="2" t="str">
        <f t="shared" si="18"/>
        <v/>
      </c>
      <c r="AJ943" s="2" t="s">
        <v>49</v>
      </c>
      <c r="AK943" s="2" t="s">
        <v>50</v>
      </c>
    </row>
    <row r="944" ht="15.75" customHeight="1">
      <c r="A944" s="2" t="s">
        <v>1141</v>
      </c>
      <c r="B944" s="3" t="str">
        <f>HYPERLINK("https://www.senado.gob.ar/parlamentario/comisiones/verExp/16.25/OV/CA","16")</f>
        <v>16</v>
      </c>
      <c r="C944" s="3" t="str">
        <f>HYPERLINK("https://www.senado.gob.ar/parlamentario/comisiones/verExp/16.25/OV/CA","2025")</f>
        <v>2025</v>
      </c>
      <c r="D944" s="2" t="s">
        <v>1219</v>
      </c>
      <c r="E944" s="2" t="s">
        <v>1759</v>
      </c>
      <c r="F944" s="2" t="s">
        <v>1604</v>
      </c>
      <c r="I944" s="2" t="s">
        <v>1288</v>
      </c>
      <c r="K944" s="2" t="s">
        <v>44</v>
      </c>
      <c r="L944" s="2" t="s">
        <v>1288</v>
      </c>
      <c r="O944" s="2">
        <v>100.0</v>
      </c>
      <c r="P944" s="2" t="s">
        <v>1146</v>
      </c>
      <c r="Q944" s="2" t="s">
        <v>1760</v>
      </c>
      <c r="AI944" s="2" t="str">
        <f t="shared" si="18"/>
        <v/>
      </c>
      <c r="AJ944" s="2" t="s">
        <v>49</v>
      </c>
      <c r="AK944" s="2" t="s">
        <v>50</v>
      </c>
    </row>
    <row r="945" ht="15.75" customHeight="1">
      <c r="A945" s="2" t="s">
        <v>1347</v>
      </c>
      <c r="B945" s="3" t="str">
        <f>HYPERLINK("https://www.senado.gob.ar/parlamentario/comisiones/verExp/16.25/PE/CE","16")</f>
        <v>16</v>
      </c>
      <c r="C945" s="3" t="str">
        <f>HYPERLINK("https://www.senado.gob.ar/parlamentario/comisiones/verExp/16.25/PE/CE","2025")</f>
        <v>2025</v>
      </c>
      <c r="D945" s="2" t="s">
        <v>1353</v>
      </c>
      <c r="E945" s="2" t="s">
        <v>1761</v>
      </c>
      <c r="F945" s="2" t="s">
        <v>1604</v>
      </c>
      <c r="I945" s="2" t="s">
        <v>1118</v>
      </c>
      <c r="K945" s="2" t="s">
        <v>44</v>
      </c>
      <c r="L945" s="2" t="s">
        <v>1118</v>
      </c>
      <c r="O945" s="2">
        <v>315.0</v>
      </c>
      <c r="P945" s="2" t="s">
        <v>271</v>
      </c>
      <c r="Q945" s="2" t="s">
        <v>1120</v>
      </c>
      <c r="AI945" s="2" t="str">
        <f t="shared" si="18"/>
        <v/>
      </c>
      <c r="AJ945" s="2" t="s">
        <v>49</v>
      </c>
      <c r="AK945" s="2" t="s">
        <v>50</v>
      </c>
    </row>
    <row r="946" ht="15.75" customHeight="1">
      <c r="A946" s="2" t="s">
        <v>39</v>
      </c>
      <c r="B946" s="3" t="str">
        <f>HYPERLINK("https://www.senado.gob.ar/parlamentario/comisiones/verExp/16.25/S/PL","16")</f>
        <v>16</v>
      </c>
      <c r="C946" s="3" t="str">
        <f>HYPERLINK("https://www.senado.gob.ar/parlamentario/comisiones/verExp/16.25/S/PL","2025")</f>
        <v>2025</v>
      </c>
      <c r="D946" s="2" t="s">
        <v>56</v>
      </c>
      <c r="E946" s="2" t="s">
        <v>1762</v>
      </c>
      <c r="F946" s="2" t="s">
        <v>1745</v>
      </c>
      <c r="I946" s="2" t="s">
        <v>1590</v>
      </c>
      <c r="K946" s="2" t="s">
        <v>44</v>
      </c>
      <c r="L946" s="2" t="s">
        <v>1313</v>
      </c>
      <c r="N946" s="2" t="s">
        <v>980</v>
      </c>
      <c r="O946" s="2">
        <v>78.0</v>
      </c>
      <c r="P946" s="2" t="s">
        <v>73</v>
      </c>
      <c r="Q946" s="2" t="s">
        <v>1693</v>
      </c>
      <c r="S946" s="2">
        <v>54.0</v>
      </c>
      <c r="T946" s="2" t="s">
        <v>65</v>
      </c>
      <c r="U946" s="2" t="s">
        <v>1693</v>
      </c>
      <c r="AI946" s="2" t="str">
        <f t="shared" si="18"/>
        <v/>
      </c>
      <c r="AJ946" s="2" t="s">
        <v>49</v>
      </c>
      <c r="AK946" s="2" t="s">
        <v>50</v>
      </c>
    </row>
    <row r="947" ht="15.75" customHeight="1">
      <c r="A947" s="2" t="s">
        <v>1723</v>
      </c>
      <c r="B947" s="3" t="str">
        <f>HYPERLINK("https://www.senado.gob.ar/parlamentario/comisiones/verExp/15.25/CD/PL","15")</f>
        <v>15</v>
      </c>
      <c r="C947" s="3" t="str">
        <f>HYPERLINK("https://www.senado.gob.ar/parlamentario/comisiones/verExp/15.25/CD/PL","2025")</f>
        <v>2025</v>
      </c>
      <c r="D947" s="2" t="s">
        <v>56</v>
      </c>
      <c r="E947" s="2" t="s">
        <v>1763</v>
      </c>
      <c r="F947" s="2" t="s">
        <v>566</v>
      </c>
      <c r="I947" s="2" t="s">
        <v>574</v>
      </c>
      <c r="K947" s="2" t="s">
        <v>44</v>
      </c>
      <c r="L947" s="2" t="s">
        <v>561</v>
      </c>
      <c r="M947" s="2" t="s">
        <v>485</v>
      </c>
      <c r="O947" s="2">
        <v>52.0</v>
      </c>
      <c r="P947" s="2" t="s">
        <v>78</v>
      </c>
      <c r="Q947" s="2" t="s">
        <v>569</v>
      </c>
      <c r="AI947" s="2" t="str">
        <f t="shared" si="18"/>
        <v/>
      </c>
      <c r="AJ947" s="2" t="s">
        <v>49</v>
      </c>
      <c r="AK947" s="2" t="s">
        <v>50</v>
      </c>
    </row>
    <row r="948" ht="15.75" customHeight="1">
      <c r="A948" s="2" t="s">
        <v>1141</v>
      </c>
      <c r="B948" s="3" t="str">
        <f>HYPERLINK("https://www.senado.gob.ar/parlamentario/comisiones/verExp/15.25/OV/CA","15")</f>
        <v>15</v>
      </c>
      <c r="C948" s="3" t="str">
        <f>HYPERLINK("https://www.senado.gob.ar/parlamentario/comisiones/verExp/15.25/OV/CA","2025")</f>
        <v>2025</v>
      </c>
      <c r="D948" s="2" t="s">
        <v>1219</v>
      </c>
      <c r="E948" s="2" t="s">
        <v>1764</v>
      </c>
      <c r="F948" s="2" t="s">
        <v>1604</v>
      </c>
      <c r="I948" s="2" t="s">
        <v>1288</v>
      </c>
      <c r="K948" s="2" t="s">
        <v>44</v>
      </c>
      <c r="L948" s="2" t="s">
        <v>1288</v>
      </c>
      <c r="O948" s="2">
        <v>100.0</v>
      </c>
      <c r="P948" s="2" t="s">
        <v>1146</v>
      </c>
      <c r="Q948" s="2" t="s">
        <v>1760</v>
      </c>
      <c r="AI948" s="2" t="str">
        <f t="shared" si="18"/>
        <v/>
      </c>
      <c r="AJ948" s="2" t="s">
        <v>49</v>
      </c>
      <c r="AK948" s="2" t="s">
        <v>50</v>
      </c>
    </row>
    <row r="949" ht="15.75" customHeight="1">
      <c r="A949" s="2" t="s">
        <v>1347</v>
      </c>
      <c r="B949" s="3" t="str">
        <f>HYPERLINK("https://www.senado.gob.ar/parlamentario/comisiones/verExp/15.25/PE/CE","15")</f>
        <v>15</v>
      </c>
      <c r="C949" s="3" t="str">
        <f>HYPERLINK("https://www.senado.gob.ar/parlamentario/comisiones/verExp/15.25/PE/CE","2025")</f>
        <v>2025</v>
      </c>
      <c r="D949" s="2" t="s">
        <v>1353</v>
      </c>
      <c r="E949" s="2" t="s">
        <v>1765</v>
      </c>
      <c r="F949" s="2" t="s">
        <v>1604</v>
      </c>
      <c r="I949" s="2" t="s">
        <v>1118</v>
      </c>
      <c r="K949" s="2" t="s">
        <v>44</v>
      </c>
      <c r="L949" s="2" t="s">
        <v>1118</v>
      </c>
      <c r="O949" s="2">
        <v>315.0</v>
      </c>
      <c r="P949" s="2" t="s">
        <v>271</v>
      </c>
      <c r="Q949" s="2" t="s">
        <v>1120</v>
      </c>
      <c r="AI949" s="2" t="str">
        <f t="shared" si="18"/>
        <v/>
      </c>
      <c r="AJ949" s="2" t="s">
        <v>49</v>
      </c>
      <c r="AK949" s="2" t="s">
        <v>50</v>
      </c>
    </row>
    <row r="950" ht="15.75" customHeight="1">
      <c r="A950" s="2" t="s">
        <v>39</v>
      </c>
      <c r="B950" s="3" t="str">
        <f>HYPERLINK("https://www.senado.gob.ar/parlamentario/comisiones/verExp/15.25/S/PL","15")</f>
        <v>15</v>
      </c>
      <c r="C950" s="3" t="str">
        <f>HYPERLINK("https://www.senado.gob.ar/parlamentario/comisiones/verExp/15.25/S/PL","2025")</f>
        <v>2025</v>
      </c>
      <c r="D950" s="2" t="s">
        <v>56</v>
      </c>
      <c r="E950" s="2" t="s">
        <v>1766</v>
      </c>
      <c r="F950" s="2" t="s">
        <v>1745</v>
      </c>
      <c r="I950" s="2" t="s">
        <v>1590</v>
      </c>
      <c r="K950" s="2" t="s">
        <v>44</v>
      </c>
      <c r="L950" s="2" t="s">
        <v>1313</v>
      </c>
      <c r="N950" s="2" t="s">
        <v>980</v>
      </c>
      <c r="O950" s="2">
        <v>78.0</v>
      </c>
      <c r="P950" s="2" t="s">
        <v>73</v>
      </c>
      <c r="Q950" s="2" t="s">
        <v>1693</v>
      </c>
      <c r="S950" s="2">
        <v>68.0</v>
      </c>
      <c r="T950" s="2" t="s">
        <v>180</v>
      </c>
      <c r="U950" s="2" t="s">
        <v>1693</v>
      </c>
      <c r="W950" s="2">
        <v>54.0</v>
      </c>
      <c r="X950" s="2" t="s">
        <v>65</v>
      </c>
      <c r="Y950" s="2" t="s">
        <v>1693</v>
      </c>
      <c r="AI950" s="2" t="str">
        <f t="shared" si="18"/>
        <v/>
      </c>
      <c r="AJ950" s="2" t="s">
        <v>49</v>
      </c>
      <c r="AK950" s="2" t="s">
        <v>50</v>
      </c>
    </row>
    <row r="951" ht="15.75" customHeight="1">
      <c r="A951" s="2" t="s">
        <v>1723</v>
      </c>
      <c r="B951" s="3" t="str">
        <f>HYPERLINK("https://www.senado.gob.ar/parlamentario/comisiones/verExp/14.25/CD/PL","14")</f>
        <v>14</v>
      </c>
      <c r="C951" s="3" t="str">
        <f>HYPERLINK("https://www.senado.gob.ar/parlamentario/comisiones/verExp/14.25/CD/PL","2025")</f>
        <v>2025</v>
      </c>
      <c r="D951" s="2" t="s">
        <v>56</v>
      </c>
      <c r="E951" s="2" t="s">
        <v>1767</v>
      </c>
      <c r="F951" s="2" t="s">
        <v>566</v>
      </c>
      <c r="I951" s="2" t="s">
        <v>574</v>
      </c>
      <c r="K951" s="2" t="s">
        <v>44</v>
      </c>
      <c r="L951" s="2" t="s">
        <v>561</v>
      </c>
      <c r="O951" s="2">
        <v>53.0</v>
      </c>
      <c r="P951" s="2" t="s">
        <v>76</v>
      </c>
      <c r="Q951" s="2" t="s">
        <v>569</v>
      </c>
      <c r="AI951" s="2" t="str">
        <f t="shared" si="18"/>
        <v/>
      </c>
      <c r="AJ951" s="2" t="s">
        <v>49</v>
      </c>
      <c r="AK951" s="2" t="s">
        <v>50</v>
      </c>
    </row>
    <row r="952" ht="15.75" customHeight="1">
      <c r="A952" s="2" t="s">
        <v>1141</v>
      </c>
      <c r="B952" s="3" t="str">
        <f>HYPERLINK("https://www.senado.gob.ar/parlamentario/comisiones/verExp/14.25/OV/CA","14")</f>
        <v>14</v>
      </c>
      <c r="C952" s="3" t="str">
        <f>HYPERLINK("https://www.senado.gob.ar/parlamentario/comisiones/verExp/14.25/OV/CA","2025")</f>
        <v>2025</v>
      </c>
      <c r="D952" s="2" t="s">
        <v>1219</v>
      </c>
      <c r="E952" s="2" t="s">
        <v>1768</v>
      </c>
      <c r="F952" s="2" t="s">
        <v>1604</v>
      </c>
      <c r="I952" s="2" t="s">
        <v>1288</v>
      </c>
      <c r="K952" s="2" t="s">
        <v>44</v>
      </c>
      <c r="L952" s="2" t="s">
        <v>1288</v>
      </c>
      <c r="O952" s="2">
        <v>100.0</v>
      </c>
      <c r="P952" s="2" t="s">
        <v>1146</v>
      </c>
      <c r="Q952" s="2" t="s">
        <v>1760</v>
      </c>
      <c r="AI952" s="2" t="str">
        <f t="shared" si="18"/>
        <v/>
      </c>
      <c r="AJ952" s="2" t="s">
        <v>49</v>
      </c>
      <c r="AK952" s="2" t="s">
        <v>50</v>
      </c>
    </row>
    <row r="953" ht="15.75" customHeight="1">
      <c r="A953" s="2" t="s">
        <v>1347</v>
      </c>
      <c r="B953" s="3" t="str">
        <f>HYPERLINK("https://www.senado.gob.ar/parlamentario/comisiones/verExp/14.25/PE/DC","14")</f>
        <v>14</v>
      </c>
      <c r="C953" s="3" t="str">
        <f>HYPERLINK("https://www.senado.gob.ar/parlamentario/comisiones/verExp/14.25/PE/DC","2025")</f>
        <v>2025</v>
      </c>
      <c r="D953" s="2" t="s">
        <v>1348</v>
      </c>
      <c r="E953" s="2" t="s">
        <v>1769</v>
      </c>
      <c r="F953" s="2" t="s">
        <v>1127</v>
      </c>
      <c r="I953" s="2" t="s">
        <v>1122</v>
      </c>
      <c r="K953" s="2" t="s">
        <v>44</v>
      </c>
      <c r="L953" s="2" t="s">
        <v>1122</v>
      </c>
      <c r="O953" s="2">
        <v>105.0</v>
      </c>
      <c r="P953" s="2" t="s">
        <v>1350</v>
      </c>
      <c r="Q953" s="2" t="s">
        <v>1770</v>
      </c>
      <c r="AI953" s="2" t="str">
        <f t="shared" si="18"/>
        <v/>
      </c>
      <c r="AJ953" s="2" t="s">
        <v>49</v>
      </c>
      <c r="AK953" s="2" t="s">
        <v>50</v>
      </c>
    </row>
    <row r="954" ht="15.75" customHeight="1">
      <c r="A954" s="2" t="s">
        <v>39</v>
      </c>
      <c r="B954" s="3" t="str">
        <f>HYPERLINK("https://www.senado.gob.ar/parlamentario/comisiones/verExp/14.25/S/PR","14")</f>
        <v>14</v>
      </c>
      <c r="C954" s="3" t="str">
        <f>HYPERLINK("https://www.senado.gob.ar/parlamentario/comisiones/verExp/14.25/S/PR","2025")</f>
        <v>2025</v>
      </c>
      <c r="D954" s="2" t="s">
        <v>145</v>
      </c>
      <c r="E954" s="2" t="s">
        <v>1771</v>
      </c>
      <c r="F954" s="2" t="s">
        <v>1745</v>
      </c>
      <c r="I954" s="2" t="s">
        <v>1590</v>
      </c>
      <c r="K954" s="2" t="s">
        <v>44</v>
      </c>
      <c r="L954" s="2" t="s">
        <v>1313</v>
      </c>
      <c r="N954" s="2" t="s">
        <v>1772</v>
      </c>
      <c r="O954" s="2">
        <v>50.0</v>
      </c>
      <c r="P954" s="2" t="s">
        <v>47</v>
      </c>
      <c r="Q954" s="2" t="s">
        <v>1693</v>
      </c>
      <c r="S954" s="2">
        <v>54.0</v>
      </c>
      <c r="T954" s="2" t="s">
        <v>65</v>
      </c>
      <c r="U954" s="2" t="s">
        <v>1693</v>
      </c>
      <c r="AI954" s="2" t="str">
        <f t="shared" si="18"/>
        <v/>
      </c>
      <c r="AJ954" s="2" t="s">
        <v>49</v>
      </c>
      <c r="AK954" s="2" t="s">
        <v>50</v>
      </c>
    </row>
    <row r="955" ht="15.75" customHeight="1">
      <c r="A955" s="2" t="s">
        <v>1141</v>
      </c>
      <c r="B955" s="3" t="str">
        <f>HYPERLINK("https://www.senado.gob.ar/parlamentario/comisiones/verExp/13.25/OV/CA","13")</f>
        <v>13</v>
      </c>
      <c r="C955" s="3" t="str">
        <f>HYPERLINK("https://www.senado.gob.ar/parlamentario/comisiones/verExp/13.25/OV/CA","2025")</f>
        <v>2025</v>
      </c>
      <c r="D955" s="2" t="s">
        <v>1219</v>
      </c>
      <c r="E955" s="2" t="s">
        <v>1773</v>
      </c>
      <c r="F955" s="2" t="s">
        <v>1604</v>
      </c>
      <c r="I955" s="2" t="s">
        <v>1288</v>
      </c>
      <c r="K955" s="2" t="s">
        <v>44</v>
      </c>
      <c r="L955" s="2" t="s">
        <v>1288</v>
      </c>
      <c r="O955" s="2">
        <v>100.0</v>
      </c>
      <c r="P955" s="2" t="s">
        <v>1146</v>
      </c>
      <c r="Q955" s="2" t="s">
        <v>1760</v>
      </c>
      <c r="AI955" s="2" t="str">
        <f t="shared" si="18"/>
        <v/>
      </c>
      <c r="AJ955" s="2" t="s">
        <v>49</v>
      </c>
      <c r="AK955" s="2" t="s">
        <v>50</v>
      </c>
    </row>
    <row r="956" ht="15.75" customHeight="1">
      <c r="A956" s="2" t="s">
        <v>1347</v>
      </c>
      <c r="B956" s="3" t="str">
        <f>HYPERLINK("https://www.senado.gob.ar/parlamentario/comisiones/verExp/13.25/PE/DC","13")</f>
        <v>13</v>
      </c>
      <c r="C956" s="3" t="str">
        <f>HYPERLINK("https://www.senado.gob.ar/parlamentario/comisiones/verExp/13.25/PE/DC","2025")</f>
        <v>2025</v>
      </c>
      <c r="D956" s="2" t="s">
        <v>1348</v>
      </c>
      <c r="E956" s="2" t="s">
        <v>1774</v>
      </c>
      <c r="F956" s="2" t="s">
        <v>1127</v>
      </c>
      <c r="I956" s="2" t="s">
        <v>1122</v>
      </c>
      <c r="K956" s="2" t="s">
        <v>44</v>
      </c>
      <c r="L956" s="2" t="s">
        <v>1122</v>
      </c>
      <c r="O956" s="2">
        <v>105.0</v>
      </c>
      <c r="P956" s="2" t="s">
        <v>1350</v>
      </c>
      <c r="Q956" s="2" t="s">
        <v>1770</v>
      </c>
      <c r="AI956" s="2" t="str">
        <f t="shared" si="18"/>
        <v/>
      </c>
      <c r="AJ956" s="2" t="s">
        <v>49</v>
      </c>
      <c r="AK956" s="2" t="s">
        <v>50</v>
      </c>
    </row>
    <row r="957" ht="15.75" customHeight="1">
      <c r="A957" s="2" t="s">
        <v>39</v>
      </c>
      <c r="B957" s="3" t="str">
        <f>HYPERLINK("https://www.senado.gob.ar/parlamentario/comisiones/verExp/13.25/S/PL","13")</f>
        <v>13</v>
      </c>
      <c r="C957" s="3" t="str">
        <f>HYPERLINK("https://www.senado.gob.ar/parlamentario/comisiones/verExp/13.25/S/PL","2025")</f>
        <v>2025</v>
      </c>
      <c r="D957" s="2" t="s">
        <v>56</v>
      </c>
      <c r="E957" s="2" t="s">
        <v>1775</v>
      </c>
      <c r="F957" s="2" t="s">
        <v>1745</v>
      </c>
      <c r="I957" s="2" t="s">
        <v>1590</v>
      </c>
      <c r="K957" s="2" t="s">
        <v>44</v>
      </c>
      <c r="L957" s="2" t="s">
        <v>1313</v>
      </c>
      <c r="N957" s="2" t="s">
        <v>906</v>
      </c>
      <c r="O957" s="2">
        <v>68.0</v>
      </c>
      <c r="P957" s="2" t="s">
        <v>180</v>
      </c>
      <c r="Q957" s="2" t="s">
        <v>1693</v>
      </c>
      <c r="S957" s="2">
        <v>70.0</v>
      </c>
      <c r="T957" s="2" t="s">
        <v>166</v>
      </c>
      <c r="U957" s="2" t="s">
        <v>1693</v>
      </c>
      <c r="AI957" s="2" t="str">
        <f t="shared" si="18"/>
        <v/>
      </c>
      <c r="AJ957" s="2" t="s">
        <v>49</v>
      </c>
      <c r="AK957" s="2" t="s">
        <v>50</v>
      </c>
    </row>
    <row r="958" ht="15.75" customHeight="1">
      <c r="A958" s="2" t="s">
        <v>1141</v>
      </c>
      <c r="B958" s="3" t="str">
        <f>HYPERLINK("https://www.senado.gob.ar/parlamentario/comisiones/verExp/12.25/OV/CA","12")</f>
        <v>12</v>
      </c>
      <c r="C958" s="3" t="str">
        <f>HYPERLINK("https://www.senado.gob.ar/parlamentario/comisiones/verExp/12.25/OV/CA","2025")</f>
        <v>2025</v>
      </c>
      <c r="D958" s="2" t="s">
        <v>1219</v>
      </c>
      <c r="E958" s="2" t="s">
        <v>1776</v>
      </c>
      <c r="F958" s="2" t="s">
        <v>1604</v>
      </c>
      <c r="I958" s="2" t="s">
        <v>1288</v>
      </c>
      <c r="K958" s="2" t="s">
        <v>44</v>
      </c>
      <c r="L958" s="2" t="s">
        <v>1288</v>
      </c>
      <c r="O958" s="2">
        <v>100.0</v>
      </c>
      <c r="P958" s="2" t="s">
        <v>1146</v>
      </c>
      <c r="Q958" s="2" t="s">
        <v>1760</v>
      </c>
      <c r="AI958" s="2" t="str">
        <f t="shared" si="18"/>
        <v/>
      </c>
      <c r="AJ958" s="2" t="s">
        <v>49</v>
      </c>
      <c r="AK958" s="2" t="s">
        <v>50</v>
      </c>
    </row>
    <row r="959" ht="15.75" customHeight="1">
      <c r="A959" s="2" t="s">
        <v>1347</v>
      </c>
      <c r="B959" s="3" t="str">
        <f>HYPERLINK("https://www.senado.gob.ar/parlamentario/comisiones/verExp/12.25/PE/DC","12")</f>
        <v>12</v>
      </c>
      <c r="C959" s="3" t="str">
        <f>HYPERLINK("https://www.senado.gob.ar/parlamentario/comisiones/verExp/12.25/PE/DC","2025")</f>
        <v>2025</v>
      </c>
      <c r="D959" s="2" t="s">
        <v>1348</v>
      </c>
      <c r="E959" s="2" t="s">
        <v>1777</v>
      </c>
      <c r="F959" s="2" t="s">
        <v>1127</v>
      </c>
      <c r="I959" s="2" t="s">
        <v>1122</v>
      </c>
      <c r="K959" s="2" t="s">
        <v>44</v>
      </c>
      <c r="L959" s="2" t="s">
        <v>1122</v>
      </c>
      <c r="O959" s="2">
        <v>105.0</v>
      </c>
      <c r="P959" s="2" t="s">
        <v>1350</v>
      </c>
      <c r="Q959" s="2" t="s">
        <v>1770</v>
      </c>
      <c r="AI959" s="2" t="str">
        <f t="shared" si="18"/>
        <v/>
      </c>
      <c r="AJ959" s="2" t="s">
        <v>49</v>
      </c>
      <c r="AK959" s="2" t="s">
        <v>50</v>
      </c>
    </row>
    <row r="960" ht="15.75" customHeight="1">
      <c r="A960" s="2" t="s">
        <v>39</v>
      </c>
      <c r="B960" s="3" t="str">
        <f>HYPERLINK("https://www.senado.gob.ar/parlamentario/comisiones/verExp/12.25/S/PL","12")</f>
        <v>12</v>
      </c>
      <c r="C960" s="3" t="str">
        <f>HYPERLINK("https://www.senado.gob.ar/parlamentario/comisiones/verExp/12.25/S/PL","2025")</f>
        <v>2025</v>
      </c>
      <c r="D960" s="2" t="s">
        <v>56</v>
      </c>
      <c r="E960" s="2" t="s">
        <v>1778</v>
      </c>
      <c r="F960" s="2" t="s">
        <v>1745</v>
      </c>
      <c r="I960" s="2" t="s">
        <v>1590</v>
      </c>
      <c r="K960" s="2" t="s">
        <v>44</v>
      </c>
      <c r="L960" s="2" t="s">
        <v>1313</v>
      </c>
      <c r="N960" s="2" t="s">
        <v>906</v>
      </c>
      <c r="O960" s="2">
        <v>74.0</v>
      </c>
      <c r="P960" s="2" t="s">
        <v>256</v>
      </c>
      <c r="Q960" s="2" t="s">
        <v>1693</v>
      </c>
      <c r="S960" s="2">
        <v>54.0</v>
      </c>
      <c r="T960" s="2" t="s">
        <v>65</v>
      </c>
      <c r="U960" s="2" t="s">
        <v>1693</v>
      </c>
      <c r="AI960" s="2" t="str">
        <f t="shared" si="18"/>
        <v/>
      </c>
      <c r="AJ960" s="2" t="s">
        <v>49</v>
      </c>
      <c r="AK960" s="2" t="s">
        <v>50</v>
      </c>
    </row>
    <row r="961" ht="15.75" customHeight="1">
      <c r="A961" s="2" t="s">
        <v>1141</v>
      </c>
      <c r="B961" s="3" t="str">
        <f>HYPERLINK("https://www.senado.gob.ar/parlamentario/comisiones/verExp/11.25/OV/CA","11")</f>
        <v>11</v>
      </c>
      <c r="C961" s="3" t="str">
        <f>HYPERLINK("https://www.senado.gob.ar/parlamentario/comisiones/verExp/11.25/OV/CA","2025")</f>
        <v>2025</v>
      </c>
      <c r="D961" s="2" t="s">
        <v>1219</v>
      </c>
      <c r="E961" s="2" t="s">
        <v>1779</v>
      </c>
      <c r="F961" s="2" t="s">
        <v>1604</v>
      </c>
      <c r="I961" s="2" t="s">
        <v>1288</v>
      </c>
      <c r="K961" s="2" t="s">
        <v>44</v>
      </c>
      <c r="L961" s="2" t="s">
        <v>1288</v>
      </c>
      <c r="O961" s="2">
        <v>100.0</v>
      </c>
      <c r="P961" s="2" t="s">
        <v>1146</v>
      </c>
      <c r="Q961" s="2" t="s">
        <v>1760</v>
      </c>
      <c r="AI961" s="2" t="str">
        <f t="shared" si="18"/>
        <v/>
      </c>
      <c r="AJ961" s="2" t="s">
        <v>49</v>
      </c>
      <c r="AK961" s="2" t="s">
        <v>50</v>
      </c>
    </row>
    <row r="962" ht="15.75" customHeight="1">
      <c r="A962" s="2" t="s">
        <v>1347</v>
      </c>
      <c r="B962" s="3" t="str">
        <f>HYPERLINK("https://www.senado.gob.ar/parlamentario/comisiones/verExp/11.25/PE/CE","11")</f>
        <v>11</v>
      </c>
      <c r="C962" s="3" t="str">
        <f>HYPERLINK("https://www.senado.gob.ar/parlamentario/comisiones/verExp/11.25/PE/CE","2025")</f>
        <v>2025</v>
      </c>
      <c r="D962" s="2" t="s">
        <v>1353</v>
      </c>
      <c r="E962" s="2" t="s">
        <v>1780</v>
      </c>
      <c r="F962" s="2" t="s">
        <v>1604</v>
      </c>
      <c r="I962" s="2" t="s">
        <v>1132</v>
      </c>
      <c r="K962" s="2" t="s">
        <v>44</v>
      </c>
      <c r="L962" s="2" t="s">
        <v>1118</v>
      </c>
      <c r="O962" s="2">
        <v>54.0</v>
      </c>
      <c r="P962" s="2" t="s">
        <v>65</v>
      </c>
      <c r="Q962" s="2" t="s">
        <v>1120</v>
      </c>
      <c r="S962" s="2">
        <v>58.0</v>
      </c>
      <c r="T962" s="2" t="s">
        <v>194</v>
      </c>
      <c r="U962" s="2" t="s">
        <v>1120</v>
      </c>
      <c r="W962" s="2">
        <v>111.0</v>
      </c>
      <c r="X962" s="2" t="s">
        <v>1431</v>
      </c>
      <c r="Y962" s="2" t="s">
        <v>1120</v>
      </c>
      <c r="AI962" s="2" t="str">
        <f t="shared" si="18"/>
        <v/>
      </c>
      <c r="AJ962" s="2" t="s">
        <v>49</v>
      </c>
      <c r="AK962" s="2" t="s">
        <v>50</v>
      </c>
    </row>
    <row r="963" ht="15.75" customHeight="1">
      <c r="A963" s="2" t="s">
        <v>39</v>
      </c>
      <c r="B963" s="3" t="str">
        <f>HYPERLINK("https://www.senado.gob.ar/parlamentario/comisiones/verExp/11.25/S/PL","11")</f>
        <v>11</v>
      </c>
      <c r="C963" s="3" t="str">
        <f>HYPERLINK("https://www.senado.gob.ar/parlamentario/comisiones/verExp/11.25/S/PL","2025")</f>
        <v>2025</v>
      </c>
      <c r="D963" s="2" t="s">
        <v>56</v>
      </c>
      <c r="E963" s="2" t="s">
        <v>1781</v>
      </c>
      <c r="F963" s="2" t="s">
        <v>1745</v>
      </c>
      <c r="I963" s="2" t="s">
        <v>1590</v>
      </c>
      <c r="K963" s="2" t="s">
        <v>44</v>
      </c>
      <c r="L963" s="2" t="s">
        <v>1313</v>
      </c>
      <c r="N963" s="2" t="s">
        <v>906</v>
      </c>
      <c r="O963" s="2">
        <v>53.0</v>
      </c>
      <c r="P963" s="2" t="s">
        <v>76</v>
      </c>
      <c r="Q963" s="2" t="s">
        <v>1693</v>
      </c>
      <c r="AI963" s="2" t="str">
        <f t="shared" si="18"/>
        <v/>
      </c>
      <c r="AJ963" s="2" t="s">
        <v>49</v>
      </c>
      <c r="AK963" s="2" t="s">
        <v>50</v>
      </c>
    </row>
    <row r="964" ht="15.75" customHeight="1">
      <c r="A964" s="2" t="s">
        <v>1747</v>
      </c>
      <c r="B964" s="3" t="str">
        <f>HYPERLINK("https://www.senado.gob.ar/parlamentario/comisiones/verExp/10.25/P/PP","10")</f>
        <v>10</v>
      </c>
      <c r="C964" s="3" t="str">
        <f>HYPERLINK("https://www.senado.gob.ar/parlamentario/comisiones/verExp/10.25/P/PP","2025")</f>
        <v>2025</v>
      </c>
      <c r="D964" s="2" t="s">
        <v>1748</v>
      </c>
      <c r="E964" s="2" t="s">
        <v>1782</v>
      </c>
      <c r="F964" s="2" t="s">
        <v>340</v>
      </c>
      <c r="H964" s="2" t="s">
        <v>1783</v>
      </c>
      <c r="I964" s="2" t="s">
        <v>1784</v>
      </c>
      <c r="K964" s="2" t="s">
        <v>44</v>
      </c>
      <c r="L964" s="2" t="s">
        <v>1785</v>
      </c>
      <c r="O964" s="2">
        <v>103.0</v>
      </c>
      <c r="P964" s="2" t="s">
        <v>690</v>
      </c>
      <c r="Q964" s="2" t="s">
        <v>1786</v>
      </c>
      <c r="AI964" s="2" t="str">
        <f t="shared" si="18"/>
        <v/>
      </c>
      <c r="AJ964" s="2" t="s">
        <v>49</v>
      </c>
      <c r="AK964" s="2" t="s">
        <v>50</v>
      </c>
      <c r="AM964" s="2" t="s">
        <v>1783</v>
      </c>
    </row>
    <row r="965" ht="15.75" customHeight="1">
      <c r="A965" s="2" t="s">
        <v>1347</v>
      </c>
      <c r="B965" s="3" t="str">
        <f>HYPERLINK("https://www.senado.gob.ar/parlamentario/comisiones/verExp/10.25/PE/DC","10")</f>
        <v>10</v>
      </c>
      <c r="C965" s="3" t="str">
        <f>HYPERLINK("https://www.senado.gob.ar/parlamentario/comisiones/verExp/10.25/PE/DC","2025")</f>
        <v>2025</v>
      </c>
      <c r="D965" s="2" t="s">
        <v>1348</v>
      </c>
      <c r="E965" s="2" t="s">
        <v>1787</v>
      </c>
      <c r="F965" s="2" t="s">
        <v>1788</v>
      </c>
      <c r="I965" s="2" t="s">
        <v>1135</v>
      </c>
      <c r="K965" s="2" t="s">
        <v>44</v>
      </c>
      <c r="L965" s="2" t="s">
        <v>1135</v>
      </c>
      <c r="O965" s="2">
        <v>315.0</v>
      </c>
      <c r="P965" s="2" t="s">
        <v>271</v>
      </c>
      <c r="Q965" s="2" t="s">
        <v>1789</v>
      </c>
      <c r="AI965" s="2" t="str">
        <f t="shared" si="18"/>
        <v/>
      </c>
      <c r="AJ965" s="2" t="s">
        <v>49</v>
      </c>
      <c r="AK965" s="2" t="s">
        <v>50</v>
      </c>
    </row>
    <row r="966" ht="15.75" customHeight="1">
      <c r="A966" s="2" t="s">
        <v>39</v>
      </c>
      <c r="B966" s="3" t="str">
        <f>HYPERLINK("https://www.senado.gob.ar/parlamentario/comisiones/verExp/10.25/S/PL","10")</f>
        <v>10</v>
      </c>
      <c r="C966" s="3" t="str">
        <f>HYPERLINK("https://www.senado.gob.ar/parlamentario/comisiones/verExp/10.25/S/PL","2025")</f>
        <v>2025</v>
      </c>
      <c r="D966" s="2" t="s">
        <v>56</v>
      </c>
      <c r="E966" s="2" t="s">
        <v>1790</v>
      </c>
      <c r="F966" s="2" t="s">
        <v>1745</v>
      </c>
      <c r="I966" s="2" t="s">
        <v>1590</v>
      </c>
      <c r="K966" s="2" t="s">
        <v>1791</v>
      </c>
      <c r="L966" s="2" t="s">
        <v>1792</v>
      </c>
      <c r="N966" s="2" t="s">
        <v>906</v>
      </c>
      <c r="O966" s="2">
        <v>78.0</v>
      </c>
      <c r="P966" s="2" t="s">
        <v>73</v>
      </c>
      <c r="Q966" s="2" t="s">
        <v>1693</v>
      </c>
      <c r="R966" s="2" t="s">
        <v>911</v>
      </c>
      <c r="S966" s="2">
        <v>78.0</v>
      </c>
      <c r="T966" s="2" t="s">
        <v>73</v>
      </c>
      <c r="U966" s="2" t="s">
        <v>659</v>
      </c>
      <c r="AI966" s="3" t="str">
        <f>HYPERLINK("https://www.senado.gob.ar/parlamentario/parlamentaria/ordenDelDiaResultadoLink/2025/212"," 212 2025 RB -")</f>
        <v> 212 2025 RB -</v>
      </c>
      <c r="AJ966" s="2" t="s">
        <v>49</v>
      </c>
      <c r="AK966" s="2" t="s">
        <v>50</v>
      </c>
    </row>
    <row r="967" ht="15.75" customHeight="1">
      <c r="A967" s="2" t="s">
        <v>1747</v>
      </c>
      <c r="B967" s="3" t="str">
        <f>HYPERLINK("https://www.senado.gob.ar/parlamentario/comisiones/verExp/9.25/P/PP","9")</f>
        <v>9</v>
      </c>
      <c r="C967" s="3" t="str">
        <f>HYPERLINK("https://www.senado.gob.ar/parlamentario/comisiones/verExp/9.25/P/PP","2025")</f>
        <v>2025</v>
      </c>
      <c r="D967" s="2" t="s">
        <v>1748</v>
      </c>
      <c r="E967" s="2" t="s">
        <v>1793</v>
      </c>
      <c r="F967" s="2" t="s">
        <v>340</v>
      </c>
      <c r="H967" s="2" t="s">
        <v>1783</v>
      </c>
      <c r="I967" s="2" t="s">
        <v>393</v>
      </c>
      <c r="K967" s="2" t="s">
        <v>44</v>
      </c>
      <c r="L967" s="2" t="s">
        <v>326</v>
      </c>
      <c r="O967" s="2">
        <v>115.0</v>
      </c>
      <c r="P967" s="2" t="s">
        <v>1794</v>
      </c>
      <c r="Q967" s="2" t="s">
        <v>1795</v>
      </c>
      <c r="AI967" s="2" t="str">
        <f t="shared" ref="AI967:AI982" si="19">HYPERLINK("","")</f>
        <v/>
      </c>
      <c r="AJ967" s="2" t="s">
        <v>49</v>
      </c>
      <c r="AK967" s="2" t="s">
        <v>50</v>
      </c>
      <c r="AM967" s="2" t="s">
        <v>1783</v>
      </c>
    </row>
    <row r="968" ht="15.75" customHeight="1">
      <c r="A968" s="2" t="s">
        <v>1347</v>
      </c>
      <c r="B968" s="3" t="str">
        <f>HYPERLINK("https://www.senado.gob.ar/parlamentario/comisiones/verExp/9.25/PE/DC","9")</f>
        <v>9</v>
      </c>
      <c r="C968" s="3" t="str">
        <f>HYPERLINK("https://www.senado.gob.ar/parlamentario/comisiones/verExp/9.25/PE/DC","2025")</f>
        <v>2025</v>
      </c>
      <c r="D968" s="2" t="s">
        <v>1348</v>
      </c>
      <c r="E968" s="2" t="s">
        <v>1796</v>
      </c>
      <c r="F968" s="2" t="s">
        <v>1191</v>
      </c>
      <c r="I968" s="2" t="s">
        <v>1199</v>
      </c>
      <c r="K968" s="2" t="s">
        <v>44</v>
      </c>
      <c r="L968" s="2" t="s">
        <v>1199</v>
      </c>
      <c r="O968" s="2">
        <v>105.0</v>
      </c>
      <c r="P968" s="2" t="s">
        <v>1350</v>
      </c>
      <c r="Q968" s="2" t="s">
        <v>1797</v>
      </c>
      <c r="AI968" s="2" t="str">
        <f t="shared" si="19"/>
        <v/>
      </c>
      <c r="AJ968" s="2" t="s">
        <v>49</v>
      </c>
      <c r="AK968" s="2" t="s">
        <v>50</v>
      </c>
    </row>
    <row r="969" ht="15.75" customHeight="1">
      <c r="A969" s="2" t="s">
        <v>39</v>
      </c>
      <c r="B969" s="3" t="str">
        <f>HYPERLINK("https://www.senado.gob.ar/parlamentario/comisiones/verExp/9.25/S/PL","9")</f>
        <v>9</v>
      </c>
      <c r="C969" s="3" t="str">
        <f>HYPERLINK("https://www.senado.gob.ar/parlamentario/comisiones/verExp/9.25/S/PL","2025")</f>
        <v>2025</v>
      </c>
      <c r="D969" s="2" t="s">
        <v>56</v>
      </c>
      <c r="E969" s="2" t="s">
        <v>1798</v>
      </c>
      <c r="F969" s="2" t="s">
        <v>1745</v>
      </c>
      <c r="I969" s="2" t="s">
        <v>1590</v>
      </c>
      <c r="K969" s="2" t="s">
        <v>44</v>
      </c>
      <c r="L969" s="2" t="s">
        <v>1313</v>
      </c>
      <c r="N969" s="2" t="s">
        <v>906</v>
      </c>
      <c r="O969" s="2">
        <v>62.0</v>
      </c>
      <c r="P969" s="2" t="s">
        <v>205</v>
      </c>
      <c r="Q969" s="2" t="s">
        <v>1693</v>
      </c>
      <c r="S969" s="2">
        <v>53.0</v>
      </c>
      <c r="T969" s="2" t="s">
        <v>76</v>
      </c>
      <c r="U969" s="2" t="s">
        <v>1693</v>
      </c>
      <c r="AI969" s="2" t="str">
        <f t="shared" si="19"/>
        <v/>
      </c>
      <c r="AJ969" s="2" t="s">
        <v>49</v>
      </c>
      <c r="AK969" s="2" t="s">
        <v>50</v>
      </c>
    </row>
    <row r="970" ht="15.75" customHeight="1">
      <c r="A970" s="2" t="s">
        <v>39</v>
      </c>
      <c r="B970" s="3" t="str">
        <f>HYPERLINK("https://www.senado.gob.ar/parlamentario/comisiones/verExp/8.25/S/PL","8")</f>
        <v>8</v>
      </c>
      <c r="C970" s="3" t="str">
        <f>HYPERLINK("https://www.senado.gob.ar/parlamentario/comisiones/verExp/8.25/S/PL","2025")</f>
        <v>2025</v>
      </c>
      <c r="D970" s="2" t="s">
        <v>56</v>
      </c>
      <c r="E970" s="2" t="s">
        <v>1799</v>
      </c>
      <c r="F970" s="2" t="s">
        <v>1745</v>
      </c>
      <c r="I970" s="2" t="s">
        <v>1590</v>
      </c>
      <c r="K970" s="2" t="s">
        <v>44</v>
      </c>
      <c r="L970" s="2" t="s">
        <v>1313</v>
      </c>
      <c r="N970" s="2" t="s">
        <v>906</v>
      </c>
      <c r="O970" s="2">
        <v>78.0</v>
      </c>
      <c r="P970" s="2" t="s">
        <v>73</v>
      </c>
      <c r="Q970" s="2" t="s">
        <v>1693</v>
      </c>
      <c r="S970" s="2">
        <v>52.0</v>
      </c>
      <c r="T970" s="2" t="s">
        <v>78</v>
      </c>
      <c r="U970" s="2" t="s">
        <v>1693</v>
      </c>
      <c r="AI970" s="2" t="str">
        <f t="shared" si="19"/>
        <v/>
      </c>
      <c r="AJ970" s="2" t="s">
        <v>49</v>
      </c>
      <c r="AK970" s="2" t="s">
        <v>50</v>
      </c>
    </row>
    <row r="971" ht="15.75" customHeight="1">
      <c r="A971" s="2" t="s">
        <v>39</v>
      </c>
      <c r="B971" s="3" t="str">
        <f>HYPERLINK("https://www.senado.gob.ar/parlamentario/comisiones/verExp/7.25/S/PL","7")</f>
        <v>7</v>
      </c>
      <c r="C971" s="3" t="str">
        <f>HYPERLINK("https://www.senado.gob.ar/parlamentario/comisiones/verExp/7.25/S/PL","2025")</f>
        <v>2025</v>
      </c>
      <c r="D971" s="2" t="s">
        <v>56</v>
      </c>
      <c r="E971" s="2" t="s">
        <v>1800</v>
      </c>
      <c r="F971" s="2" t="s">
        <v>1745</v>
      </c>
      <c r="I971" s="2" t="s">
        <v>1590</v>
      </c>
      <c r="K971" s="2" t="s">
        <v>44</v>
      </c>
      <c r="L971" s="2" t="s">
        <v>1313</v>
      </c>
      <c r="N971" s="2" t="s">
        <v>906</v>
      </c>
      <c r="O971" s="2">
        <v>78.0</v>
      </c>
      <c r="P971" s="2" t="s">
        <v>73</v>
      </c>
      <c r="Q971" s="2" t="s">
        <v>1693</v>
      </c>
      <c r="S971" s="2">
        <v>59.0</v>
      </c>
      <c r="T971" s="2" t="s">
        <v>220</v>
      </c>
      <c r="U971" s="2" t="s">
        <v>1693</v>
      </c>
      <c r="AI971" s="2" t="str">
        <f t="shared" si="19"/>
        <v/>
      </c>
      <c r="AJ971" s="2" t="s">
        <v>49</v>
      </c>
      <c r="AK971" s="2" t="s">
        <v>50</v>
      </c>
    </row>
    <row r="972" ht="15.75" customHeight="1">
      <c r="A972" s="2" t="s">
        <v>1347</v>
      </c>
      <c r="B972" s="3" t="str">
        <f>HYPERLINK("https://www.senado.gob.ar/parlamentario/comisiones/verExp/6.25/PE/DC","6")</f>
        <v>6</v>
      </c>
      <c r="C972" s="3" t="str">
        <f>HYPERLINK("https://www.senado.gob.ar/parlamentario/comisiones/verExp/6.25/PE/DC","2025")</f>
        <v>2025</v>
      </c>
      <c r="D972" s="2" t="s">
        <v>1348</v>
      </c>
      <c r="E972" s="2" t="s">
        <v>1801</v>
      </c>
      <c r="F972" s="2" t="s">
        <v>1284</v>
      </c>
      <c r="I972" s="2" t="s">
        <v>1288</v>
      </c>
      <c r="K972" s="2" t="s">
        <v>44</v>
      </c>
      <c r="L972" s="2" t="s">
        <v>1288</v>
      </c>
      <c r="O972" s="2">
        <v>105.0</v>
      </c>
      <c r="P972" s="2" t="s">
        <v>1350</v>
      </c>
      <c r="Q972" s="2" t="s">
        <v>1760</v>
      </c>
      <c r="AI972" s="2" t="str">
        <f t="shared" si="19"/>
        <v/>
      </c>
      <c r="AJ972" s="2" t="s">
        <v>49</v>
      </c>
      <c r="AK972" s="2" t="s">
        <v>50</v>
      </c>
    </row>
    <row r="973" ht="15.75" customHeight="1">
      <c r="A973" s="2" t="s">
        <v>39</v>
      </c>
      <c r="B973" s="3" t="str">
        <f>HYPERLINK("https://www.senado.gob.ar/parlamentario/comisiones/verExp/6.25/S/PL","6")</f>
        <v>6</v>
      </c>
      <c r="C973" s="3" t="str">
        <f>HYPERLINK("https://www.senado.gob.ar/parlamentario/comisiones/verExp/6.25/S/PL","2025")</f>
        <v>2025</v>
      </c>
      <c r="D973" s="2" t="s">
        <v>56</v>
      </c>
      <c r="E973" s="2" t="s">
        <v>1802</v>
      </c>
      <c r="F973" s="2" t="s">
        <v>1745</v>
      </c>
      <c r="I973" s="2" t="s">
        <v>1590</v>
      </c>
      <c r="K973" s="2" t="s">
        <v>44</v>
      </c>
      <c r="L973" s="2" t="s">
        <v>1313</v>
      </c>
      <c r="N973" s="2" t="s">
        <v>906</v>
      </c>
      <c r="O973" s="2">
        <v>78.0</v>
      </c>
      <c r="P973" s="2" t="s">
        <v>73</v>
      </c>
      <c r="Q973" s="2" t="s">
        <v>1693</v>
      </c>
      <c r="S973" s="2">
        <v>59.0</v>
      </c>
      <c r="T973" s="2" t="s">
        <v>220</v>
      </c>
      <c r="U973" s="2" t="s">
        <v>1693</v>
      </c>
      <c r="AI973" s="2" t="str">
        <f t="shared" si="19"/>
        <v/>
      </c>
      <c r="AJ973" s="2" t="s">
        <v>49</v>
      </c>
      <c r="AK973" s="2" t="s">
        <v>50</v>
      </c>
    </row>
    <row r="974" ht="15.75" customHeight="1">
      <c r="A974" s="2" t="s">
        <v>39</v>
      </c>
      <c r="B974" s="3" t="str">
        <f>HYPERLINK("https://www.senado.gob.ar/parlamentario/comisiones/verExp/5.25/S/PL","5")</f>
        <v>5</v>
      </c>
      <c r="C974" s="3" t="str">
        <f>HYPERLINK("https://www.senado.gob.ar/parlamentario/comisiones/verExp/5.25/S/PL","2025")</f>
        <v>2025</v>
      </c>
      <c r="D974" s="2" t="s">
        <v>56</v>
      </c>
      <c r="E974" s="2" t="s">
        <v>1803</v>
      </c>
      <c r="F974" s="2" t="s">
        <v>1745</v>
      </c>
      <c r="I974" s="2" t="s">
        <v>1590</v>
      </c>
      <c r="K974" s="2" t="s">
        <v>44</v>
      </c>
      <c r="L974" s="2" t="s">
        <v>1313</v>
      </c>
      <c r="N974" s="2" t="s">
        <v>906</v>
      </c>
      <c r="O974" s="2">
        <v>58.0</v>
      </c>
      <c r="P974" s="2" t="s">
        <v>194</v>
      </c>
      <c r="Q974" s="2" t="s">
        <v>1693</v>
      </c>
      <c r="S974" s="2">
        <v>53.0</v>
      </c>
      <c r="T974" s="2" t="s">
        <v>76</v>
      </c>
      <c r="U974" s="2" t="s">
        <v>1693</v>
      </c>
      <c r="AI974" s="2" t="str">
        <f t="shared" si="19"/>
        <v/>
      </c>
      <c r="AJ974" s="2" t="s">
        <v>49</v>
      </c>
      <c r="AK974" s="2" t="s">
        <v>50</v>
      </c>
    </row>
    <row r="975" ht="15.75" customHeight="1">
      <c r="A975" s="2" t="s">
        <v>1347</v>
      </c>
      <c r="B975" s="3" t="str">
        <f>HYPERLINK("https://www.senado.gob.ar/parlamentario/comisiones/verExp/4.25/PE/DC","4")</f>
        <v>4</v>
      </c>
      <c r="C975" s="3" t="str">
        <f>HYPERLINK("https://www.senado.gob.ar/parlamentario/comisiones/verExp/4.25/PE/DC","2025")</f>
        <v>2025</v>
      </c>
      <c r="D975" s="2" t="s">
        <v>1348</v>
      </c>
      <c r="E975" s="2" t="s">
        <v>1804</v>
      </c>
      <c r="F975" s="2" t="s">
        <v>1551</v>
      </c>
      <c r="I975" s="2" t="s">
        <v>1454</v>
      </c>
      <c r="K975" s="2" t="s">
        <v>44</v>
      </c>
      <c r="L975" s="2" t="s">
        <v>1454</v>
      </c>
      <c r="O975" s="2">
        <v>105.0</v>
      </c>
      <c r="P975" s="2" t="s">
        <v>1350</v>
      </c>
      <c r="Q975" s="2" t="s">
        <v>1805</v>
      </c>
      <c r="AI975" s="2" t="str">
        <f t="shared" si="19"/>
        <v/>
      </c>
      <c r="AJ975" s="2" t="s">
        <v>49</v>
      </c>
      <c r="AK975" s="2" t="s">
        <v>50</v>
      </c>
    </row>
    <row r="976" ht="15.75" customHeight="1">
      <c r="A976" s="2" t="s">
        <v>39</v>
      </c>
      <c r="B976" s="3" t="str">
        <f>HYPERLINK("https://www.senado.gob.ar/parlamentario/comisiones/verExp/4.25/S/PL","4")</f>
        <v>4</v>
      </c>
      <c r="C976" s="3" t="str">
        <f>HYPERLINK("https://www.senado.gob.ar/parlamentario/comisiones/verExp/4.25/S/PL","2025")</f>
        <v>2025</v>
      </c>
      <c r="D976" s="2" t="s">
        <v>56</v>
      </c>
      <c r="E976" s="2" t="s">
        <v>1806</v>
      </c>
      <c r="F976" s="2" t="s">
        <v>1745</v>
      </c>
      <c r="I976" s="2" t="s">
        <v>1590</v>
      </c>
      <c r="K976" s="2" t="s">
        <v>44</v>
      </c>
      <c r="L976" s="2" t="s">
        <v>1313</v>
      </c>
      <c r="N976" s="2" t="s">
        <v>906</v>
      </c>
      <c r="O976" s="2">
        <v>53.0</v>
      </c>
      <c r="P976" s="2" t="s">
        <v>76</v>
      </c>
      <c r="Q976" s="2" t="s">
        <v>1693</v>
      </c>
      <c r="S976" s="2">
        <v>54.0</v>
      </c>
      <c r="T976" s="2" t="s">
        <v>65</v>
      </c>
      <c r="U976" s="2" t="s">
        <v>1693</v>
      </c>
      <c r="AI976" s="2" t="str">
        <f t="shared" si="19"/>
        <v/>
      </c>
      <c r="AJ976" s="2" t="s">
        <v>49</v>
      </c>
      <c r="AK976" s="2" t="s">
        <v>50</v>
      </c>
    </row>
    <row r="977" ht="15.75" customHeight="1">
      <c r="A977" s="2" t="s">
        <v>1723</v>
      </c>
      <c r="B977" s="3" t="str">
        <f>HYPERLINK("https://www.senado.gob.ar/parlamentario/comisiones/verExp/3.25/CD/PL","3")</f>
        <v>3</v>
      </c>
      <c r="C977" s="3" t="str">
        <f>HYPERLINK("https://www.senado.gob.ar/parlamentario/comisiones/verExp/3.25/CD/PL","2025")</f>
        <v>2025</v>
      </c>
      <c r="D977" s="2" t="s">
        <v>56</v>
      </c>
      <c r="E977" s="2" t="s">
        <v>1807</v>
      </c>
      <c r="F977" s="2" t="s">
        <v>831</v>
      </c>
      <c r="I977" s="2" t="s">
        <v>832</v>
      </c>
      <c r="K977" s="2" t="s">
        <v>44</v>
      </c>
      <c r="L977" s="2" t="s">
        <v>833</v>
      </c>
      <c r="O977" s="2">
        <v>54.0</v>
      </c>
      <c r="P977" s="2" t="s">
        <v>65</v>
      </c>
      <c r="Q977" s="2" t="s">
        <v>834</v>
      </c>
      <c r="AI977" s="2" t="str">
        <f t="shared" si="19"/>
        <v/>
      </c>
      <c r="AJ977" s="2" t="s">
        <v>49</v>
      </c>
      <c r="AK977" s="2" t="s">
        <v>50</v>
      </c>
    </row>
    <row r="978" ht="15.75" customHeight="1">
      <c r="A978" s="2" t="s">
        <v>1347</v>
      </c>
      <c r="B978" s="3" t="str">
        <f>HYPERLINK("https://www.senado.gob.ar/parlamentario/comisiones/verExp/3.25/PE/DC","3")</f>
        <v>3</v>
      </c>
      <c r="C978" s="3" t="str">
        <f>HYPERLINK("https://www.senado.gob.ar/parlamentario/comisiones/verExp/3.25/PE/DC","2025")</f>
        <v>2025</v>
      </c>
      <c r="D978" s="2" t="s">
        <v>1348</v>
      </c>
      <c r="E978" s="2" t="s">
        <v>1808</v>
      </c>
      <c r="F978" s="2" t="s">
        <v>1551</v>
      </c>
      <c r="I978" s="2" t="s">
        <v>1454</v>
      </c>
      <c r="K978" s="2" t="s">
        <v>44</v>
      </c>
      <c r="L978" s="2" t="s">
        <v>1454</v>
      </c>
      <c r="O978" s="2">
        <v>105.0</v>
      </c>
      <c r="P978" s="2" t="s">
        <v>1350</v>
      </c>
      <c r="Q978" s="2" t="s">
        <v>1805</v>
      </c>
      <c r="AI978" s="2" t="str">
        <f t="shared" si="19"/>
        <v/>
      </c>
      <c r="AJ978" s="2" t="s">
        <v>49</v>
      </c>
      <c r="AK978" s="2" t="s">
        <v>50</v>
      </c>
    </row>
    <row r="979" ht="15.75" customHeight="1">
      <c r="A979" s="2" t="s">
        <v>39</v>
      </c>
      <c r="B979" s="3" t="str">
        <f>HYPERLINK("https://www.senado.gob.ar/parlamentario/comisiones/verExp/3.25/S/PL","3")</f>
        <v>3</v>
      </c>
      <c r="C979" s="3" t="str">
        <f>HYPERLINK("https://www.senado.gob.ar/parlamentario/comisiones/verExp/3.25/S/PL","2025")</f>
        <v>2025</v>
      </c>
      <c r="D979" s="2" t="s">
        <v>56</v>
      </c>
      <c r="E979" s="2" t="s">
        <v>1809</v>
      </c>
      <c r="F979" s="2" t="s">
        <v>1745</v>
      </c>
      <c r="I979" s="2" t="s">
        <v>1590</v>
      </c>
      <c r="K979" s="2" t="s">
        <v>44</v>
      </c>
      <c r="L979" s="2" t="s">
        <v>1313</v>
      </c>
      <c r="N979" s="2" t="s">
        <v>906</v>
      </c>
      <c r="O979" s="2">
        <v>53.0</v>
      </c>
      <c r="P979" s="2" t="s">
        <v>76</v>
      </c>
      <c r="Q979" s="2" t="s">
        <v>1693</v>
      </c>
      <c r="S979" s="2">
        <v>58.0</v>
      </c>
      <c r="T979" s="2" t="s">
        <v>194</v>
      </c>
      <c r="U979" s="2" t="s">
        <v>1693</v>
      </c>
      <c r="AI979" s="2" t="str">
        <f t="shared" si="19"/>
        <v/>
      </c>
      <c r="AJ979" s="2" t="s">
        <v>49</v>
      </c>
      <c r="AK979" s="2" t="s">
        <v>50</v>
      </c>
    </row>
    <row r="980" ht="15.75" customHeight="1">
      <c r="A980" s="2" t="s">
        <v>1347</v>
      </c>
      <c r="B980" s="3" t="str">
        <f>HYPERLINK("https://www.senado.gob.ar/parlamentario/comisiones/verExp/2.25/PE/DC","2")</f>
        <v>2</v>
      </c>
      <c r="C980" s="3" t="str">
        <f>HYPERLINK("https://www.senado.gob.ar/parlamentario/comisiones/verExp/2.25/PE/DC","2025")</f>
        <v>2025</v>
      </c>
      <c r="D980" s="2" t="s">
        <v>1348</v>
      </c>
      <c r="E980" s="2" t="s">
        <v>1810</v>
      </c>
      <c r="F980" s="2" t="s">
        <v>1551</v>
      </c>
      <c r="I980" s="2" t="s">
        <v>1454</v>
      </c>
      <c r="K980" s="2" t="s">
        <v>44</v>
      </c>
      <c r="L980" s="2" t="s">
        <v>1454</v>
      </c>
      <c r="O980" s="2">
        <v>105.0</v>
      </c>
      <c r="P980" s="2" t="s">
        <v>1350</v>
      </c>
      <c r="Q980" s="2" t="s">
        <v>1805</v>
      </c>
      <c r="AI980" s="2" t="str">
        <f t="shared" si="19"/>
        <v/>
      </c>
      <c r="AJ980" s="2" t="s">
        <v>49</v>
      </c>
      <c r="AK980" s="2" t="s">
        <v>50</v>
      </c>
    </row>
    <row r="981" ht="15.75" customHeight="1">
      <c r="A981" s="2" t="s">
        <v>39</v>
      </c>
      <c r="B981" s="3" t="str">
        <f>HYPERLINK("https://www.senado.gob.ar/parlamentario/comisiones/verExp/2.25/S/PL","2")</f>
        <v>2</v>
      </c>
      <c r="C981" s="3" t="str">
        <f>HYPERLINK("https://www.senado.gob.ar/parlamentario/comisiones/verExp/2.25/S/PL","2025")</f>
        <v>2025</v>
      </c>
      <c r="D981" s="2" t="s">
        <v>56</v>
      </c>
      <c r="E981" s="2" t="s">
        <v>1811</v>
      </c>
      <c r="F981" s="2" t="s">
        <v>1745</v>
      </c>
      <c r="I981" s="2" t="s">
        <v>1590</v>
      </c>
      <c r="K981" s="2" t="s">
        <v>44</v>
      </c>
      <c r="L981" s="2" t="s">
        <v>1313</v>
      </c>
      <c r="N981" s="2" t="s">
        <v>906</v>
      </c>
      <c r="O981" s="2">
        <v>50.0</v>
      </c>
      <c r="P981" s="2" t="s">
        <v>47</v>
      </c>
      <c r="Q981" s="2" t="s">
        <v>1693</v>
      </c>
      <c r="S981" s="2">
        <v>70.0</v>
      </c>
      <c r="T981" s="2" t="s">
        <v>166</v>
      </c>
      <c r="U981" s="2" t="s">
        <v>1693</v>
      </c>
      <c r="AI981" s="2" t="str">
        <f t="shared" si="19"/>
        <v/>
      </c>
      <c r="AJ981" s="2" t="s">
        <v>49</v>
      </c>
      <c r="AK981" s="2" t="s">
        <v>50</v>
      </c>
    </row>
    <row r="982" ht="15.75" customHeight="1">
      <c r="A982" s="2" t="s">
        <v>1723</v>
      </c>
      <c r="B982" s="3" t="str">
        <f>HYPERLINK("https://www.senado.gob.ar/parlamentario/comisiones/verExp/1.25/CD/PL","1")</f>
        <v>1</v>
      </c>
      <c r="C982" s="3" t="str">
        <f>HYPERLINK("https://www.senado.gob.ar/parlamentario/comisiones/verExp/1.25/CD/PL","2025")</f>
        <v>2025</v>
      </c>
      <c r="D982" s="2" t="s">
        <v>56</v>
      </c>
      <c r="E982" s="2" t="s">
        <v>1812</v>
      </c>
      <c r="F982" s="2" t="s">
        <v>1284</v>
      </c>
      <c r="I982" s="2" t="s">
        <v>1288</v>
      </c>
      <c r="K982" s="2" t="s">
        <v>44</v>
      </c>
      <c r="L982" s="2" t="s">
        <v>1288</v>
      </c>
      <c r="O982" s="2">
        <v>54.0</v>
      </c>
      <c r="P982" s="2" t="s">
        <v>65</v>
      </c>
      <c r="Q982" s="2" t="s">
        <v>1760</v>
      </c>
      <c r="AI982" s="2" t="str">
        <f t="shared" si="19"/>
        <v/>
      </c>
      <c r="AJ982" s="2" t="s">
        <v>49</v>
      </c>
      <c r="AK982" s="2" t="s">
        <v>50</v>
      </c>
    </row>
  </sheetData>
  <autoFilter ref="$A$1:$AM$982"/>
  <printOptions/>
  <pageMargins bottom="0.75" footer="0.0" header="0.0" left="0.7" right="0.7" top="0.75"/>
  <pageSetup orientation="landscape"/>
  <drawing r:id="rId1"/>
</worksheet>
</file>